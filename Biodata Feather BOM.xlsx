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y Lists Worksheet" sheetId="1" state="visible" r:id="rId3"/>
    <sheet name="Sheet1" sheetId="2" state="visible" r:id="rId4"/>
    <sheet name="List of componen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G5" authorId="0">
      <text>
        <r>
          <rPr>
            <sz val="10"/>
            <rFont val="Arial"/>
            <family val="2"/>
          </rPr>
          <t xml:space="preserve">======
ID#AAABrn0KCRQ
Fernando Fernandez    (2025-09-28 14:44:18)
Añadida una más en symbioware</t>
        </r>
      </text>
    </comment>
  </commentList>
</comments>
</file>

<file path=xl/sharedStrings.xml><?xml version="1.0" encoding="utf-8"?>
<sst xmlns="http://schemas.openxmlformats.org/spreadsheetml/2006/main" count="413" uniqueCount="184">
  <si>
    <t xml:space="preserve">Index</t>
  </si>
  <si>
    <t xml:space="preserve">Manufacturer Part Number</t>
  </si>
  <si>
    <t xml:space="preserve">Manufacturer Name</t>
  </si>
  <si>
    <t xml:space="preserve">Description</t>
  </si>
  <si>
    <t xml:space="preserve">Attrition %</t>
  </si>
  <si>
    <t xml:space="preserve">Requested Quantity 1</t>
  </si>
  <si>
    <t xml:space="preserve">Pack Quantity 1</t>
  </si>
  <si>
    <t xml:space="preserve">Pack Type 1</t>
  </si>
  <si>
    <t xml:space="preserve">Digi-Key Part Number 1</t>
  </si>
  <si>
    <t xml:space="preserve">Unit Price 1</t>
  </si>
  <si>
    <t xml:space="preserve">Extended Price 1</t>
  </si>
  <si>
    <t xml:space="preserve">Minimum Order Quantity 1</t>
  </si>
  <si>
    <t xml:space="preserve">Link to buy Slovenya</t>
  </si>
  <si>
    <t xml:space="preserve">Link to buy EU</t>
  </si>
  <si>
    <t xml:space="preserve">Image</t>
  </si>
  <si>
    <t xml:space="preserve">Product Notes</t>
  </si>
  <si>
    <t xml:space="preserve">1825910-7</t>
  </si>
  <si>
    <t xml:space="preserve">TE Connectivity ALCOSWITCH Switches</t>
  </si>
  <si>
    <t xml:space="preserve">SWITCH TACTILE SPST-NO 0.05A 24V</t>
  </si>
  <si>
    <t xml:space="preserve">Bulk</t>
  </si>
  <si>
    <t xml:space="preserve">450-1804-ND</t>
  </si>
  <si>
    <t xml:space="preserve">$0,13</t>
  </si>
  <si>
    <t xml:space="preserve">https://www.digikey.si/en/products/detail/te-connectivity-alcoswitch-switches/1825910-7/1731414</t>
  </si>
  <si>
    <t xml:space="preserve"> </t>
  </si>
  <si>
    <t xml:space="preserve">http://mm.digikey.com/Volume0/opasdata/d220001/medias/images/609/1825910-7.JPG</t>
  </si>
  <si>
    <t xml:space="preserve">FG18X7R1H472KNT06</t>
  </si>
  <si>
    <t xml:space="preserve">TDK Corporation</t>
  </si>
  <si>
    <t xml:space="preserve">CAP CER 4700PF 50V X7R RADIAL</t>
  </si>
  <si>
    <t xml:space="preserve">Cut Tape (CT)</t>
  </si>
  <si>
    <t xml:space="preserve">445-173274-1-ND</t>
  </si>
  <si>
    <t xml:space="preserve">$0,27</t>
  </si>
  <si>
    <t xml:space="preserve">https://www.digikey.si/en/products/detail/tdk/FG18X7R1H472KNT06/5802888?s=N4IgTCBcDaIGIHECMAOAGgdgEpIBIBYMwBpAOQBUAGANhAF0BfIA</t>
  </si>
  <si>
    <t xml:space="preserve">https://mm.digikey.com/Volume0/opasdata/d220001/medias/images/1206/FG18_Type.jpg</t>
  </si>
  <si>
    <t xml:space="preserve">CFM14JT10R0</t>
  </si>
  <si>
    <t xml:space="preserve">Stackpole Electronics Inc</t>
  </si>
  <si>
    <t xml:space="preserve">RES 10 OHM 5% 1/4W AXIAL</t>
  </si>
  <si>
    <t xml:space="preserve">S10QCT-ND</t>
  </si>
  <si>
    <t xml:space="preserve">$0,70</t>
  </si>
  <si>
    <t xml:space="preserve">https://www.digikey.si/en/products/detail/stackpole-electronics-inc/CFM14JT10R0/1742055?s=N4IgTCBcDaIMIDECyBGALAKQCooAwCVcQBdAXyA</t>
  </si>
  <si>
    <t xml:space="preserve">http://mm.digikey.com/Volume0/opasdata/d220001/medias/images/2453/CFMSeries 10.jpg</t>
  </si>
  <si>
    <t xml:space="preserve">CFM14JT3K90</t>
  </si>
  <si>
    <t xml:space="preserve">RES 3.9K OHM 5% 1/4W AXIAL</t>
  </si>
  <si>
    <t xml:space="preserve">S3.9KQCT-ND</t>
  </si>
  <si>
    <t xml:space="preserve">$0.10</t>
  </si>
  <si>
    <t xml:space="preserve">https://www.digikey.si/en/products/detail/stackpole-electronics-inc/CFM14JT3K90/1742176?s=N4IgTCBcDaIMIDECyBGALAKQCoGYDSAnAAwgC6AvkA</t>
  </si>
  <si>
    <t xml:space="preserve">http://mm.digikey.com/Volume0/opasdata/d220001/medias/images/2385/CFMSeries 3-9k.jpg</t>
  </si>
  <si>
    <t xml:space="preserve">CF14JT1M00</t>
  </si>
  <si>
    <t xml:space="preserve">RES 1M OHM 5% 1/4W AXIAL</t>
  </si>
  <si>
    <t xml:space="preserve">CF14JT1M00CT-ND
</t>
  </si>
  <si>
    <t xml:space="preserve">https://www.digikey.si/en/products/detail/stackpole-electronics-inc/CF14JT1M00/1741316</t>
  </si>
  <si>
    <t xml:space="preserve">SJ1-3525NG-GR</t>
  </si>
  <si>
    <t xml:space="preserve">CUI Devices</t>
  </si>
  <si>
    <t xml:space="preserve">CONN JACK STEREO 3.5MM R/A</t>
  </si>
  <si>
    <t xml:space="preserve">Tray</t>
  </si>
  <si>
    <t xml:space="preserve">CP1-3525NG-GR-ND</t>
  </si>
  <si>
    <t xml:space="preserve">$0,73</t>
  </si>
  <si>
    <t xml:space="preserve">https://www.digikey.si/en/products/detail/same-sky-formerly-cui-devices/SJ1-3525NG-GR/2295990?s=N4IgTCBcDaIMoCkCMBaAzAVjBgcgcRTwCUQBdAXyA</t>
  </si>
  <si>
    <t xml:space="preserve">https://mm.digikey.com/Volume0/opasdata/d220001/medias/images/378/MFG_SJ1-3525NG-GR.jpg</t>
  </si>
  <si>
    <t xml:space="preserve">CME0303S3C</t>
  </si>
  <si>
    <t xml:space="preserve">Murata Power Solutions Inc.</t>
  </si>
  <si>
    <t xml:space="preserve">DC DC CONVERTER 3.3V 750MW</t>
  </si>
  <si>
    <t xml:space="preserve">Tube</t>
  </si>
  <si>
    <t xml:space="preserve">811-2889-5-ND</t>
  </si>
  <si>
    <t xml:space="preserve">$3.25</t>
  </si>
  <si>
    <t xml:space="preserve">https://www.digikey.si/en/products/detail/murata-power-solutions-inc/CME0303S3C/4693717?s=N4IgTCBcDaIMIFkCiAGAzOgymuIC6AvkA</t>
  </si>
  <si>
    <t xml:space="preserve">https://mm.digikey.com/Volume0/opasdata/d220001/medias/images/2699/MFG_cmes3c.jpg</t>
  </si>
  <si>
    <t xml:space="preserve">3405</t>
  </si>
  <si>
    <t xml:space="preserve">Adafruit Industries LLC</t>
  </si>
  <si>
    <t xml:space="preserve">HUZZAH32 ESP32 FEATHER LOOSE HDR</t>
  </si>
  <si>
    <t xml:space="preserve">1528-2181-ND</t>
  </si>
  <si>
    <t xml:space="preserve">19.95000</t>
  </si>
  <si>
    <t xml:space="preserve">$19.95</t>
  </si>
  <si>
    <t xml:space="preserve">http://mm.digikey.com/Volume0/opasdata/d220001/medias/images/2232/MFG_3405.jpg</t>
  </si>
  <si>
    <t xml:space="preserve">2011</t>
  </si>
  <si>
    <t xml:space="preserve">BATTERY LITH-ION 3.7V 2AH</t>
  </si>
  <si>
    <t xml:space="preserve">1528-1857-ND</t>
  </si>
  <si>
    <t xml:space="preserve">12.50000</t>
  </si>
  <si>
    <t xml:space="preserve">$12.50</t>
  </si>
  <si>
    <t xml:space="preserve">http://mm.digikey.com/Volume0/opasdata/d220001/medias/images/4848/MFG_1528_2011.jpg</t>
  </si>
  <si>
    <t xml:space="preserve">Batería Lipo 1000mAh / 3.7V - 102050</t>
  </si>
  <si>
    <t xml:space="preserve">Look for a local provider</t>
  </si>
  <si>
    <t xml:space="preserve">https://tienda.bricogeek.com/baterias-lipo/1312-bateria-lipo-1000mah-37v-102050.html</t>
  </si>
  <si>
    <t xml:space="preserve">https://tienda.bricogeek.com/7514-large_default/bateria-lipo-1000mah-37v-102050.jpg</t>
  </si>
  <si>
    <t xml:space="preserve">LMC555CN/NOPB</t>
  </si>
  <si>
    <t xml:space="preserve">Texas Instruments</t>
  </si>
  <si>
    <t xml:space="preserve">IC OSC SINGLE TIMER 3MHZ 8-DIP</t>
  </si>
  <si>
    <t xml:space="preserve">LMC555CN/NOPB-ND</t>
  </si>
  <si>
    <t xml:space="preserve">$1,53</t>
  </si>
  <si>
    <t xml:space="preserve">https://www.digikey.si/en/products/detail/texas-instruments/LMC555CN-NOPB/32623?s=N4IgTCBcDaIDIFkDCBWNSByB6DB5ACgEIgC6AvkA</t>
  </si>
  <si>
    <t xml:space="preserve">https://mm.digikey.com/Volume0/opasdata/d220001/medias/images/376/8-DIP.jpg</t>
  </si>
  <si>
    <t xml:space="preserve">SJ1-3525NG</t>
  </si>
  <si>
    <t xml:space="preserve">CP1-3525NG-ND</t>
  </si>
  <si>
    <t xml:space="preserve">$0,99</t>
  </si>
  <si>
    <t xml:space="preserve">https://www.digikey.si/en/products/detail/same-sky-formerly-cui-devices/SJ1-3525NG/738690</t>
  </si>
  <si>
    <t xml:space="preserve">https://mm.digikey.com/Volume0/opasdata/d220001/medias/images/1172/SJ1-3525NG.jpg</t>
  </si>
  <si>
    <t xml:space="preserve">1825232-1</t>
  </si>
  <si>
    <t xml:space="preserve">SWITCH SLIDE SPDT 200MA 30V</t>
  </si>
  <si>
    <t xml:space="preserve">A107673-ND</t>
  </si>
  <si>
    <t xml:space="preserve">$0.46</t>
  </si>
  <si>
    <t xml:space="preserve">https://www.digikey.si/en/products/detail/te-connectivity-alcoswitch-switches/1825232-1/4021554?s=N4IgTCBcDaIIwA4wFYwGYwFo4gLoF8g</t>
  </si>
  <si>
    <t xml:space="preserve">http://mm.digikey.com/Volume0/opasdata/d220001/medias/images/665/1825232-1.JPG</t>
  </si>
  <si>
    <t xml:space="preserve">LTV-816</t>
  </si>
  <si>
    <t xml:space="preserve">Lite-On Inc.</t>
  </si>
  <si>
    <t xml:space="preserve">OPTOISOLATR 5KV TRANSISTOR 4-DIP</t>
  </si>
  <si>
    <t xml:space="preserve">160-1360-5-ND</t>
  </si>
  <si>
    <t xml:space="preserve">$0,39</t>
  </si>
  <si>
    <t xml:space="preserve">https://www.digikey.si/en/products/detail/liteon/LTV-816/385830</t>
  </si>
  <si>
    <t xml:space="preserve">https://mm.digikey.com/Volume0/opasdata/d220001/medias/images/371/ZJY51R5-2PB-01.jpg</t>
  </si>
  <si>
    <t xml:space="preserve">PTV09A-4015U-B103</t>
  </si>
  <si>
    <t xml:space="preserve">Bourns Inc.</t>
  </si>
  <si>
    <t xml:space="preserve">POT 10K OHM 1/20W CARBON LINEAR</t>
  </si>
  <si>
    <t xml:space="preserve">PTV09A-4015U-B103-ND</t>
  </si>
  <si>
    <t xml:space="preserve">$1,02</t>
  </si>
  <si>
    <t xml:space="preserve">https://www.digikey.si/en/products/detail/bourns-inc/PTV09A-4015U-B103/3781118?s=N4IgTCBcDaIAoBUBqAGAnAQQLQBYUEYBWAVSwCF8UBmEAXQF8g</t>
  </si>
  <si>
    <t xml:space="preserve">http://mm.digikey.com/Volume0/opasdata/d220001/medias/images/13/PTV09A-4015U-B103.JPG</t>
  </si>
  <si>
    <t xml:space="preserve">FIT0096</t>
  </si>
  <si>
    <t xml:space="preserve">DFRobot</t>
  </si>
  <si>
    <t xml:space="preserve">BREADBRD TERM STRIP 3.20X2.00"</t>
  </si>
  <si>
    <t xml:space="preserve">1738-1326-ND</t>
  </si>
  <si>
    <t xml:space="preserve">2.90000</t>
  </si>
  <si>
    <t xml:space="preserve">$2.90</t>
  </si>
  <si>
    <t xml:space="preserve">http://mm.digikey.com/Volume0/opasdata/d220001/medias/images/833/FIT0096.jpg</t>
  </si>
  <si>
    <t xml:space="preserve">INL-3AY30</t>
  </si>
  <si>
    <t xml:space="preserve">Inolux</t>
  </si>
  <si>
    <t xml:space="preserve">LED YELLOW CLEAR 3MM T/H</t>
  </si>
  <si>
    <t xml:space="preserve">Bag</t>
  </si>
  <si>
    <t xml:space="preserve">1830-1002-ND</t>
  </si>
  <si>
    <t xml:space="preserve">$0,36</t>
  </si>
  <si>
    <t xml:space="preserve">https://www.digikey.si/en/products/detail/inolux/INL-3AY30/7604622?s=N4IgTCBcDaIJIDkAyBaAzAQQJpoAwgF0BfIA</t>
  </si>
  <si>
    <t xml:space="preserve">https://mm.digikey.com/Volume0/opasdata/d220001/medias/images/729/INL-3AB30.JPG</t>
  </si>
  <si>
    <t xml:space="preserve">INL-3AR30</t>
  </si>
  <si>
    <t xml:space="preserve">LED RED CLEAR 3MM T/H</t>
  </si>
  <si>
    <t xml:space="preserve">1830-1000-ND</t>
  </si>
  <si>
    <t xml:space="preserve">$0.36</t>
  </si>
  <si>
    <t xml:space="preserve">https://www.digikey.si/en/products/detail/inolux/INL-3AR30/7604620?s=N4IgTCBcDaIJIDkAyBaAzAQQEpoAwgF0BfIA</t>
  </si>
  <si>
    <t xml:space="preserve">INL-3AW30</t>
  </si>
  <si>
    <t xml:space="preserve">LED WHITE CLEAR 3MM T/H</t>
  </si>
  <si>
    <t xml:space="preserve">1830-1006-ND</t>
  </si>
  <si>
    <t xml:space="preserve">$0,40</t>
  </si>
  <si>
    <t xml:space="preserve">https://www.digikey.si/en/products/detail/inolux/INL-3AW30/7604621?s=N4IgTCBcDaIJIDkAyBaAzAQQOpoAwgF0BfIA</t>
  </si>
  <si>
    <t xml:space="preserve">INL-3AB30</t>
  </si>
  <si>
    <t xml:space="preserve">LED BLUE CLEAR 3MM T/H</t>
  </si>
  <si>
    <t xml:space="preserve">1830-1005-ND</t>
  </si>
  <si>
    <t xml:space="preserve">$0.35</t>
  </si>
  <si>
    <t xml:space="preserve">https://www.digikey.si/en/products/detail/inolux/INL-3AB30/7604618?s=N4IgTCBcDaIJIDkAyBaAzAQQEJoAwgF0BfIA</t>
  </si>
  <si>
    <t xml:space="preserve">INL-3AYG30</t>
  </si>
  <si>
    <t xml:space="preserve">LED YLW-GRN CLEAR 3MM T/H</t>
  </si>
  <si>
    <t xml:space="preserve">1830-1003-ND</t>
  </si>
  <si>
    <t xml:space="preserve">https://www.digikey.si/en/products/detail/inolux/INL-3AYG30/7604623?s=N4IgTCBcDaIJIDkAyBaAzAQQJoHE0AYQBdAXyA</t>
  </si>
  <si>
    <t xml:space="preserve">5323</t>
  </si>
  <si>
    <t xml:space="preserve">ESP32-S3 FEATHER 8MB/0MB PSRAM</t>
  </si>
  <si>
    <t xml:space="preserve">1528-5323-ND</t>
  </si>
  <si>
    <t xml:space="preserve">$17.50</t>
  </si>
  <si>
    <t xml:space="preserve">https://www.digikey.si/en/products/detail/adafruit-industries-llc/5323/16376065</t>
  </si>
  <si>
    <t xml:space="preserve">https://mm.digikey.com/Volume0/opasdata/d220001/medias/images/4845/MFG_1528_5323.jpg</t>
  </si>
  <si>
    <t xml:space="preserve">1-2199298-2</t>
  </si>
  <si>
    <t xml:space="preserve">TE Connectivity AMP Connectors</t>
  </si>
  <si>
    <t xml:space="preserve">8 (2 x 4) Pos DIP, 0.3" (7.62mm) Row Spacing Socket Tin Through Hole</t>
  </si>
  <si>
    <t xml:space="preserve">A120347-ND</t>
  </si>
  <si>
    <t xml:space="preserve">https://www.digikey.si/en/products/detail/te-connectivity-amp-connectors/1-2199298-2/5022039?s=N4IgTCBcDaIIwFoxwJwrCgHEkBdAvkA</t>
  </si>
  <si>
    <t xml:space="preserve">https://mm.digikey.com/Volume0/opasdata/d220001/medias/images/803/1-2199298-2.JPG </t>
  </si>
  <si>
    <t xml:space="preserve">HDR100IMP40F-G-V-TH</t>
  </si>
  <si>
    <t xml:space="preserve">Chip Quik Inc.</t>
  </si>
  <si>
    <t xml:space="preserve">40 Position Header Connector 0.100" (2.54mm) Through Hole Gold</t>
  </si>
  <si>
    <t xml:space="preserve">HDR100IMP40F-G-V-TH-ND</t>
  </si>
  <si>
    <t xml:space="preserve">https://mm.digikey.com/Volume0/opasdata/d220001/medias/images/14/MFG_HDR100IMP40F-G-V-TH.jpg</t>
  </si>
  <si>
    <t xml:space="preserve">	
Tensility International Corp</t>
  </si>
  <si>
    <t xml:space="preserve">
CBL ASSY 3.5MM SLIM 6' MONO BLK</t>
  </si>
  <si>
    <t xml:space="preserve">https://www.digikey.si/en/products/detail/tensility-international-corp/10-00344/2350247</t>
  </si>
  <si>
    <t xml:space="preserve">GATOR CLIP STEEL NON-INSUL 5A</t>
  </si>
  <si>
    <t xml:space="preserve">https://www.digikey.si/en/products/detail/mueller-electric-co/BU-34/304581</t>
  </si>
  <si>
    <t xml:space="preserve">MolinoLab</t>
  </si>
  <si>
    <t xml:space="preserve">Biodata PCB </t>
  </si>
  <si>
    <t xml:space="preserve">Talk to Fernando, I'll carry them</t>
  </si>
  <si>
    <t xml:space="preserve">En Molino Lab</t>
  </si>
  <si>
    <t xml:space="preserve">Vendido :) hope</t>
  </si>
  <si>
    <t xml:space="preserve">Pendientes</t>
  </si>
  <si>
    <t xml:space="preserve">Falta 1</t>
  </si>
  <si>
    <t xml:space="preserve">IC OSC SINGLE TIMER 3MHZ 8-DIP LM 555</t>
  </si>
  <si>
    <t xml:space="preserve">1 pendiente</t>
  </si>
  <si>
    <t xml:space="preserve">n/a</t>
  </si>
  <si>
    <t xml:space="preserve">To build one</t>
  </si>
  <si>
    <t xml:space="preserve">Have it</t>
  </si>
  <si>
    <t xml:space="preserve">Miss it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</si>
</sst>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.00\€"/>
    <numFmt numFmtId="167" formatCode="#,##0.00&quot; €&quot;;[RED]\-#,##0.00&quot; €&quot;"/>
  </numFmts>
  <fonts count="1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9"/>
      <color rgb="FF444444"/>
      <name val="Roboto"/>
      <family val="0"/>
      <charset val="1"/>
    </font>
    <font>
      <u val="single"/>
      <sz val="11"/>
      <color rgb="FF467886"/>
      <name val="Calibri"/>
      <family val="0"/>
      <charset val="1"/>
    </font>
    <font>
      <u val="single"/>
      <sz val="11"/>
      <color theme="10"/>
      <name val="Calibri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8761D"/>
        <bgColor rgb="FF467886"/>
      </patternFill>
    </fill>
    <fill>
      <patternFill patternType="solid">
        <fgColor rgb="FFFFFFFF"/>
        <bgColor rgb="FFFFFFCC"/>
      </patternFill>
    </fill>
    <fill>
      <patternFill patternType="solid">
        <fgColor rgb="FFE6B8AF"/>
        <bgColor rgb="FFC0C0C0"/>
      </patternFill>
    </fill>
    <fill>
      <patternFill patternType="solid">
        <fgColor theme="9"/>
        <bgColor rgb="FF38761D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6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7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6B8AF"/>
      <rgbColor rgb="FF3366FF"/>
      <rgbColor rgb="FF33CCCC"/>
      <rgbColor rgb="FF99CC00"/>
      <rgbColor rgb="FFFFCC00"/>
      <rgbColor rgb="FFFF9900"/>
      <rgbColor rgb="FFE97132"/>
      <rgbColor rgb="FF467886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digikey.si/en/products/detail/te-connectivity-alcoswitch-switches/1825910-7/1731414" TargetMode="External"/><Relationship Id="rId3" Type="http://schemas.openxmlformats.org/officeDocument/2006/relationships/hyperlink" Target="http://mm.digikey.com/Volume0/opasdata/d220001/medias/images/609/1825910-7.JPG" TargetMode="External"/><Relationship Id="rId4" Type="http://schemas.openxmlformats.org/officeDocument/2006/relationships/hyperlink" Target="https://www.digikey.si/en/products/detail/tdk/FG18X7R1H472KNT06/5802888?s=N4IgTCBcDaIGIHECMAOAGgdgEpIBIBYMwBpAOQBUAGANhAF0BfIA" TargetMode="External"/><Relationship Id="rId5" Type="http://schemas.openxmlformats.org/officeDocument/2006/relationships/hyperlink" Target="https://mm.digikey.com/Volume0/opasdata/d220001/medias/images/1206/FG18_Type.jpg" TargetMode="External"/><Relationship Id="rId6" Type="http://schemas.openxmlformats.org/officeDocument/2006/relationships/hyperlink" Target="https://www.digikey.si/en/products/detail/stackpole-electronics-inc/CFM14JT10R0/1742055?s=N4IgTCBcDaIMIDECyBGALAKQCooAwCVcQBdAXyA" TargetMode="External"/><Relationship Id="rId7" Type="http://schemas.openxmlformats.org/officeDocument/2006/relationships/hyperlink" Target="http://mm.digikey.com/Volume0/opasdata/d220001/medias/images/2453/CFMSeries%2010.jpg" TargetMode="External"/><Relationship Id="rId8" Type="http://schemas.openxmlformats.org/officeDocument/2006/relationships/hyperlink" Target="https://www.digikey.si/en/products/detail/stackpole-electronics-inc/CFM14JT3K90/1742176?s=N4IgTCBcDaIMIDECyBGALAKQCoGYDSAnAAwgC6AvkA" TargetMode="External"/><Relationship Id="rId9" Type="http://schemas.openxmlformats.org/officeDocument/2006/relationships/hyperlink" Target="http://mm.digikey.com/Volume0/opasdata/d220001/medias/images/2385/CFMSeries%203-9k.jpg" TargetMode="External"/><Relationship Id="rId10" Type="http://schemas.openxmlformats.org/officeDocument/2006/relationships/hyperlink" Target="https://www.digikey.si/en/products/detail/stackpole-electronics-inc/CF14JT1M00/1741316" TargetMode="External"/><Relationship Id="rId11" Type="http://schemas.openxmlformats.org/officeDocument/2006/relationships/hyperlink" Target="https://www.digikey.si/en/products/detail/same-sky-formerly-cui-devices/SJ1-3525NG-GR/2295990?s=N4IgTCBcDaIMoCkCMBaAzAVjBgcgcRTwCUQBdAXyA" TargetMode="External"/><Relationship Id="rId12" Type="http://schemas.openxmlformats.org/officeDocument/2006/relationships/hyperlink" Target="https://mm.digikey.com/Volume0/opasdata/d220001/medias/images/378/MFG_SJ1-3525NG-GR.jpg" TargetMode="External"/><Relationship Id="rId13" Type="http://schemas.openxmlformats.org/officeDocument/2006/relationships/hyperlink" Target="https://www.digikey.si/en/products/detail/murata-power-solutions-inc/CME0303S3C/4693717?s=N4IgTCBcDaIMIFkCiAGAzOgymuIC6AvkA" TargetMode="External"/><Relationship Id="rId14" Type="http://schemas.openxmlformats.org/officeDocument/2006/relationships/hyperlink" Target="https://mm.digikey.com/Volume0/opasdata/d220001/medias/images/2699/MFG_cmes3c.jpg" TargetMode="External"/><Relationship Id="rId15" Type="http://schemas.openxmlformats.org/officeDocument/2006/relationships/hyperlink" Target="http://mm.digikey.com/Volume0/opasdata/d220001/medias/images/2232/MFG_3405.jpg" TargetMode="External"/><Relationship Id="rId16" Type="http://schemas.openxmlformats.org/officeDocument/2006/relationships/hyperlink" Target="http://mm.digikey.com/Volume0/opasdata/d220001/medias/images/4848/MFG_1528_2011.jpg" TargetMode="External"/><Relationship Id="rId17" Type="http://schemas.openxmlformats.org/officeDocument/2006/relationships/hyperlink" Target="https://tienda.bricogeek.com/baterias-lipo/1312-bateria-lipo-1000mah-37v-102050.html" TargetMode="External"/><Relationship Id="rId18" Type="http://schemas.openxmlformats.org/officeDocument/2006/relationships/hyperlink" Target="https://tienda.bricogeek.com/7514-large_default/bateria-lipo-1000mah-37v-102050.jpg" TargetMode="External"/><Relationship Id="rId19" Type="http://schemas.openxmlformats.org/officeDocument/2006/relationships/hyperlink" Target="https://www.digikey.si/en/products/detail/texas-instruments/LMC555CN-NOPB/32623?s=N4IgTCBcDaIDIFkDCBWNSByB6DB5ACgEIgC6AvkA" TargetMode="External"/><Relationship Id="rId20" Type="http://schemas.openxmlformats.org/officeDocument/2006/relationships/hyperlink" Target="https://mm.digikey.com/Volume0/opasdata/d220001/medias/images/376/8-DIP.jpg" TargetMode="External"/><Relationship Id="rId21" Type="http://schemas.openxmlformats.org/officeDocument/2006/relationships/hyperlink" Target="https://www.digikey.si/en/products/detail/same-sky-formerly-cui-devices/SJ1-3525NG/738690" TargetMode="External"/><Relationship Id="rId22" Type="http://schemas.openxmlformats.org/officeDocument/2006/relationships/hyperlink" Target="https://mm.digikey.com/Volume0/opasdata/d220001/medias/images/1172/SJ1-3525NG.jpg" TargetMode="External"/><Relationship Id="rId23" Type="http://schemas.openxmlformats.org/officeDocument/2006/relationships/hyperlink" Target="https://www.digikey.si/en/products/detail/te-connectivity-alcoswitch-switches/1825232-1/4021554?s=N4IgTCBcDaIIwA4wFYwGYwFo4gLoF8g" TargetMode="External"/><Relationship Id="rId24" Type="http://schemas.openxmlformats.org/officeDocument/2006/relationships/hyperlink" Target="http://mm.digikey.com/Volume0/opasdata/d220001/medias/images/665/1825232-1.JPG" TargetMode="External"/><Relationship Id="rId25" Type="http://schemas.openxmlformats.org/officeDocument/2006/relationships/hyperlink" Target="https://www.digikey.si/en/products/detail/liteon/LTV-816/385830" TargetMode="External"/><Relationship Id="rId26" Type="http://schemas.openxmlformats.org/officeDocument/2006/relationships/hyperlink" Target="https://mm.digikey.com/Volume0/opasdata/d220001/medias/images/371/ZJY51R5-2PB-01.jpg" TargetMode="External"/><Relationship Id="rId27" Type="http://schemas.openxmlformats.org/officeDocument/2006/relationships/hyperlink" Target="https://www.digikey.si/en/products/detail/bourns-inc/PTV09A-4015U-B103/3781118?s=N4IgTCBcDaIAoBUBqAGAnAQQLQBYUEYBWAVSwCF8UBmEAXQF8g" TargetMode="External"/><Relationship Id="rId28" Type="http://schemas.openxmlformats.org/officeDocument/2006/relationships/hyperlink" Target="http://mm.digikey.com/Volume0/opasdata/d220001/medias/images/13/PTV09A-4015U-B103.JPG" TargetMode="External"/><Relationship Id="rId29" Type="http://schemas.openxmlformats.org/officeDocument/2006/relationships/hyperlink" Target="http://mm.digikey.com/Volume0/opasdata/d220001/medias/images/833/FIT0096.jpg" TargetMode="External"/><Relationship Id="rId30" Type="http://schemas.openxmlformats.org/officeDocument/2006/relationships/hyperlink" Target="https://www.digikey.si/en/products/detail/inolux/INL-3AY30/7604622?s=N4IgTCBcDaIJIDkAyBaAzAQQJpoAwgF0BfIA" TargetMode="External"/><Relationship Id="rId31" Type="http://schemas.openxmlformats.org/officeDocument/2006/relationships/hyperlink" Target="https://mm.digikey.com/Volume0/opasdata/d220001/medias/images/729/INL-3AB30.JPG" TargetMode="External"/><Relationship Id="rId32" Type="http://schemas.openxmlformats.org/officeDocument/2006/relationships/hyperlink" Target="https://www.digikey.si/en/products/detail/inolux/INL-3AR30/7604620?s=N4IgTCBcDaIJIDkAyBaAzAQQEpoAwgF0BfIA" TargetMode="External"/><Relationship Id="rId33" Type="http://schemas.openxmlformats.org/officeDocument/2006/relationships/hyperlink" Target="https://mm.digikey.com/Volume0/opasdata/d220001/medias/images/729/INL-3AB30.JPG" TargetMode="External"/><Relationship Id="rId34" Type="http://schemas.openxmlformats.org/officeDocument/2006/relationships/hyperlink" Target="https://www.digikey.si/en/products/detail/inolux/INL-3AW30/7604621?s=N4IgTCBcDaIJIDkAyBaAzAQQOpoAwgF0BfIA" TargetMode="External"/><Relationship Id="rId35" Type="http://schemas.openxmlformats.org/officeDocument/2006/relationships/hyperlink" Target="https://mm.digikey.com/Volume0/opasdata/d220001/medias/images/729/INL-3AB30.JPG" TargetMode="External"/><Relationship Id="rId36" Type="http://schemas.openxmlformats.org/officeDocument/2006/relationships/hyperlink" Target="https://www.digikey.si/en/products/detail/inolux/INL-3AB30/7604618?s=N4IgTCBcDaIJIDkAyBaAzAQQEJoAwgF0BfIA" TargetMode="External"/><Relationship Id="rId37" Type="http://schemas.openxmlformats.org/officeDocument/2006/relationships/hyperlink" Target="https://mm.digikey.com/Volume0/opasdata/d220001/medias/images/729/INL-3AB30.JPG" TargetMode="External"/><Relationship Id="rId38" Type="http://schemas.openxmlformats.org/officeDocument/2006/relationships/hyperlink" Target="https://www.digikey.si/en/products/detail/inolux/INL-3AYG30/7604623?s=N4IgTCBcDaIJIDkAyBaAzAQQJoHE0AYQBdAXyA" TargetMode="External"/><Relationship Id="rId39" Type="http://schemas.openxmlformats.org/officeDocument/2006/relationships/hyperlink" Target="https://mm.digikey.com/Volume0/opasdata/d220001/medias/images/729/INL-3AB30.JPG" TargetMode="External"/><Relationship Id="rId40" Type="http://schemas.openxmlformats.org/officeDocument/2006/relationships/hyperlink" Target="https://www.digikey.si/en/products/detail/adafruit-industries-llc/5323/16376065" TargetMode="External"/><Relationship Id="rId41" Type="http://schemas.openxmlformats.org/officeDocument/2006/relationships/hyperlink" Target="https://mm.digikey.com/Volume0/opasdata/d220001/medias/images/4845/MFG_1528_5323.jpg" TargetMode="External"/><Relationship Id="rId42" Type="http://schemas.openxmlformats.org/officeDocument/2006/relationships/hyperlink" Target="https://www.digikey.si/en/products/detail/te-connectivity-amp-connectors/1-2199298-2/5022039?s=N4IgTCBcDaIIwFoxwJwrCgHEkBdAvkA" TargetMode="External"/><Relationship Id="rId43" Type="http://schemas.openxmlformats.org/officeDocument/2006/relationships/hyperlink" Target="https://mm.digikey.com/Volume0/opasdata/d220001/medias/images/803/1-2199298-2.JPG" TargetMode="External"/><Relationship Id="rId44" Type="http://schemas.openxmlformats.org/officeDocument/2006/relationships/hyperlink" Target="https://mm.digikey.com/Volume0/opasdata/d220001/medias/images/14/MFG_HDR100IMP40F-G-V-TH.jpg" TargetMode="External"/><Relationship Id="rId45" Type="http://schemas.openxmlformats.org/officeDocument/2006/relationships/hyperlink" Target="https://www.digikey.si/en/products/detail/tensility-international-corp/10-00344/2350247" TargetMode="External"/><Relationship Id="rId46" Type="http://schemas.openxmlformats.org/officeDocument/2006/relationships/hyperlink" Target="https://www.digikey.si/en/products/detail/mueller-electric-co/BU-34/304581" TargetMode="External"/><Relationship Id="rId47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J23" activeCellId="0" sqref="J2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34.71"/>
    <col collapsed="false" customWidth="true" hidden="false" outlineLevel="0" max="3" min="3" style="0" width="22.15"/>
    <col collapsed="false" customWidth="true" hidden="false" outlineLevel="0" max="4" min="4" style="0" width="30.43"/>
    <col collapsed="false" customWidth="true" hidden="false" outlineLevel="0" max="5" min="5" style="0" width="2.29"/>
    <col collapsed="false" customWidth="true" hidden="false" outlineLevel="0" max="6" min="6" style="0" width="6.43"/>
    <col collapsed="false" customWidth="true" hidden="false" outlineLevel="0" max="7" min="7" style="0" width="4.29"/>
    <col collapsed="false" customWidth="true" hidden="false" outlineLevel="0" max="8" min="8" style="0" width="10.85"/>
    <col collapsed="false" customWidth="true" hidden="false" outlineLevel="0" max="9" min="9" style="0" width="17.29"/>
    <col collapsed="false" customWidth="true" hidden="false" outlineLevel="0" max="10" min="10" style="0" width="9.29"/>
    <col collapsed="false" customWidth="true" hidden="false" outlineLevel="0" max="11" min="11" style="0" width="13.57"/>
    <col collapsed="false" customWidth="true" hidden="false" outlineLevel="0" max="12" min="12" style="0" width="6.29"/>
    <col collapsed="false" customWidth="true" hidden="false" outlineLevel="0" max="13" min="13" style="0" width="28.14"/>
    <col collapsed="false" customWidth="true" hidden="false" outlineLevel="0" max="14" min="14" style="0" width="14.29"/>
    <col collapsed="false" customWidth="true" hidden="false" outlineLevel="0" max="15" min="15" style="0" width="34.14"/>
    <col collapsed="false" customWidth="true" hidden="false" outlineLevel="0" max="28" min="16" style="0" width="8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23.85" hidden="false" customHeight="false" outlineLevel="0" collapsed="false">
      <c r="A2" s="2" t="n">
        <v>1</v>
      </c>
      <c r="B2" s="2" t="s">
        <v>16</v>
      </c>
      <c r="C2" s="2" t="s">
        <v>17</v>
      </c>
      <c r="D2" s="3" t="s">
        <v>18</v>
      </c>
      <c r="E2" s="2"/>
      <c r="F2" s="2" t="n">
        <v>1</v>
      </c>
      <c r="G2" s="2" t="n">
        <v>1</v>
      </c>
      <c r="H2" s="2" t="s">
        <v>19</v>
      </c>
      <c r="I2" s="2" t="s">
        <v>20</v>
      </c>
      <c r="J2" s="2" t="n">
        <v>0.13</v>
      </c>
      <c r="K2" s="4" t="s">
        <v>21</v>
      </c>
      <c r="L2" s="2" t="n">
        <v>1</v>
      </c>
      <c r="M2" s="5" t="s">
        <v>22</v>
      </c>
      <c r="N2" s="6" t="s">
        <v>23</v>
      </c>
      <c r="O2" s="5" t="s">
        <v>24</v>
      </c>
      <c r="P2" s="2" t="s">
        <v>23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23.85" hidden="false" customHeight="false" outlineLevel="0" collapsed="false">
      <c r="A3" s="2" t="n">
        <v>2</v>
      </c>
      <c r="B3" s="2" t="s">
        <v>25</v>
      </c>
      <c r="C3" s="2" t="s">
        <v>26</v>
      </c>
      <c r="D3" s="3" t="s">
        <v>27</v>
      </c>
      <c r="E3" s="2"/>
      <c r="F3" s="2" t="n">
        <v>1</v>
      </c>
      <c r="G3" s="2" t="n">
        <v>1</v>
      </c>
      <c r="H3" s="2" t="s">
        <v>28</v>
      </c>
      <c r="I3" s="2" t="s">
        <v>29</v>
      </c>
      <c r="J3" s="2" t="n">
        <v>0.27</v>
      </c>
      <c r="K3" s="4" t="s">
        <v>30</v>
      </c>
      <c r="L3" s="2" t="n">
        <v>1</v>
      </c>
      <c r="M3" s="5" t="s">
        <v>31</v>
      </c>
      <c r="N3" s="6" t="s">
        <v>23</v>
      </c>
      <c r="O3" s="5" t="s">
        <v>32</v>
      </c>
      <c r="P3" s="2" t="s">
        <v>23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23.85" hidden="false" customHeight="false" outlineLevel="0" collapsed="false">
      <c r="A4" s="2" t="n">
        <v>3</v>
      </c>
      <c r="B4" s="2" t="s">
        <v>33</v>
      </c>
      <c r="C4" s="2" t="s">
        <v>34</v>
      </c>
      <c r="D4" s="3" t="s">
        <v>35</v>
      </c>
      <c r="E4" s="2"/>
      <c r="F4" s="2" t="n">
        <v>7</v>
      </c>
      <c r="G4" s="2" t="n">
        <v>7</v>
      </c>
      <c r="H4" s="2" t="s">
        <v>28</v>
      </c>
      <c r="I4" s="2" t="s">
        <v>36</v>
      </c>
      <c r="J4" s="2" t="n">
        <v>0.1</v>
      </c>
      <c r="K4" s="4" t="s">
        <v>37</v>
      </c>
      <c r="L4" s="2" t="n">
        <v>1</v>
      </c>
      <c r="M4" s="5" t="s">
        <v>38</v>
      </c>
      <c r="N4" s="6" t="s">
        <v>23</v>
      </c>
      <c r="O4" s="5" t="s">
        <v>39</v>
      </c>
      <c r="P4" s="2" t="s">
        <v>23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customFormat="false" ht="23.85" hidden="false" customHeight="false" outlineLevel="0" collapsed="false">
      <c r="A5" s="2" t="n">
        <v>4</v>
      </c>
      <c r="B5" s="2" t="s">
        <v>40</v>
      </c>
      <c r="C5" s="2" t="s">
        <v>34</v>
      </c>
      <c r="D5" s="3" t="s">
        <v>41</v>
      </c>
      <c r="E5" s="2"/>
      <c r="F5" s="2" t="n">
        <v>2</v>
      </c>
      <c r="G5" s="2" t="n">
        <v>2</v>
      </c>
      <c r="H5" s="2" t="s">
        <v>28</v>
      </c>
      <c r="I5" s="2" t="s">
        <v>42</v>
      </c>
      <c r="J5" s="2" t="n">
        <v>0.1</v>
      </c>
      <c r="K5" s="4" t="s">
        <v>43</v>
      </c>
      <c r="L5" s="2" t="n">
        <v>1</v>
      </c>
      <c r="M5" s="5" t="s">
        <v>44</v>
      </c>
      <c r="N5" s="6" t="s">
        <v>23</v>
      </c>
      <c r="O5" s="5" t="s">
        <v>45</v>
      </c>
      <c r="P5" s="2" t="s">
        <v>23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customFormat="false" ht="23.85" hidden="false" customHeight="false" outlineLevel="0" collapsed="false">
      <c r="A6" s="2" t="n">
        <v>7</v>
      </c>
      <c r="B6" s="7" t="s">
        <v>46</v>
      </c>
      <c r="C6" s="2" t="s">
        <v>34</v>
      </c>
      <c r="D6" s="3" t="s">
        <v>47</v>
      </c>
      <c r="E6" s="2"/>
      <c r="F6" s="2" t="n">
        <v>1</v>
      </c>
      <c r="G6" s="2" t="n">
        <v>1</v>
      </c>
      <c r="H6" s="2"/>
      <c r="I6" s="2" t="s">
        <v>48</v>
      </c>
      <c r="J6" s="2" t="n">
        <v>0.1</v>
      </c>
      <c r="K6" s="4" t="n">
        <v>0.1</v>
      </c>
      <c r="L6" s="2"/>
      <c r="M6" s="5" t="s">
        <v>49</v>
      </c>
      <c r="N6" s="6" t="s">
        <v>23</v>
      </c>
      <c r="O6" s="6"/>
      <c r="P6" s="2" t="s">
        <v>23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customFormat="false" ht="23.85" hidden="false" customHeight="false" outlineLevel="0" collapsed="false">
      <c r="A7" s="2" t="n">
        <v>5</v>
      </c>
      <c r="B7" s="2" t="s">
        <v>50</v>
      </c>
      <c r="C7" s="2" t="s">
        <v>51</v>
      </c>
      <c r="D7" s="3" t="s">
        <v>52</v>
      </c>
      <c r="E7" s="2"/>
      <c r="F7" s="2" t="n">
        <v>1</v>
      </c>
      <c r="G7" s="2" t="n">
        <v>1</v>
      </c>
      <c r="H7" s="2" t="s">
        <v>53</v>
      </c>
      <c r="I7" s="2" t="s">
        <v>54</v>
      </c>
      <c r="J7" s="2" t="n">
        <v>0.73</v>
      </c>
      <c r="K7" s="4" t="s">
        <v>55</v>
      </c>
      <c r="L7" s="2" t="n">
        <v>1</v>
      </c>
      <c r="M7" s="8" t="s">
        <v>56</v>
      </c>
      <c r="N7" s="6" t="s">
        <v>23</v>
      </c>
      <c r="O7" s="5" t="s">
        <v>57</v>
      </c>
      <c r="P7" s="2" t="s">
        <v>23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customFormat="false" ht="23.85" hidden="false" customHeight="false" outlineLevel="0" collapsed="false">
      <c r="A8" s="2" t="n">
        <v>6</v>
      </c>
      <c r="B8" s="2" t="s">
        <v>58</v>
      </c>
      <c r="C8" s="2" t="s">
        <v>59</v>
      </c>
      <c r="D8" s="3" t="s">
        <v>60</v>
      </c>
      <c r="E8" s="2"/>
      <c r="F8" s="2" t="n">
        <v>1</v>
      </c>
      <c r="G8" s="2" t="n">
        <v>1</v>
      </c>
      <c r="H8" s="2" t="s">
        <v>61</v>
      </c>
      <c r="I8" s="2" t="s">
        <v>62</v>
      </c>
      <c r="J8" s="2" t="n">
        <v>3.25</v>
      </c>
      <c r="K8" s="4" t="s">
        <v>63</v>
      </c>
      <c r="L8" s="2" t="n">
        <v>1</v>
      </c>
      <c r="M8" s="5" t="s">
        <v>64</v>
      </c>
      <c r="N8" s="6" t="s">
        <v>23</v>
      </c>
      <c r="O8" s="5" t="s">
        <v>65</v>
      </c>
      <c r="P8" s="2" t="s">
        <v>23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customFormat="false" ht="23.85" hidden="true" customHeight="false" outlineLevel="0" collapsed="false">
      <c r="A9" s="9" t="n">
        <v>7</v>
      </c>
      <c r="B9" s="9" t="s">
        <v>66</v>
      </c>
      <c r="C9" s="9" t="s">
        <v>67</v>
      </c>
      <c r="D9" s="3" t="s">
        <v>68</v>
      </c>
      <c r="E9" s="9"/>
      <c r="F9" s="9" t="n">
        <v>1</v>
      </c>
      <c r="G9" s="9" t="n">
        <v>1</v>
      </c>
      <c r="H9" s="9" t="s">
        <v>19</v>
      </c>
      <c r="I9" s="9" t="s">
        <v>69</v>
      </c>
      <c r="J9" s="9" t="s">
        <v>70</v>
      </c>
      <c r="K9" s="10" t="s">
        <v>71</v>
      </c>
      <c r="L9" s="9" t="n">
        <v>1</v>
      </c>
      <c r="M9" s="11"/>
      <c r="N9" s="11"/>
      <c r="O9" s="12" t="s">
        <v>72</v>
      </c>
      <c r="P9" s="2" t="s">
        <v>23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customFormat="false" ht="15" hidden="true" customHeight="false" outlineLevel="0" collapsed="false">
      <c r="A10" s="9" t="n">
        <v>8</v>
      </c>
      <c r="B10" s="9" t="s">
        <v>73</v>
      </c>
      <c r="C10" s="9" t="s">
        <v>67</v>
      </c>
      <c r="D10" s="3" t="s">
        <v>74</v>
      </c>
      <c r="E10" s="9"/>
      <c r="F10" s="9" t="n">
        <v>1</v>
      </c>
      <c r="G10" s="9" t="n">
        <v>1</v>
      </c>
      <c r="H10" s="9" t="s">
        <v>19</v>
      </c>
      <c r="I10" s="9" t="s">
        <v>75</v>
      </c>
      <c r="J10" s="9" t="s">
        <v>76</v>
      </c>
      <c r="K10" s="10" t="s">
        <v>77</v>
      </c>
      <c r="L10" s="9" t="n">
        <v>1</v>
      </c>
      <c r="M10" s="11"/>
      <c r="N10" s="11"/>
      <c r="O10" s="12" t="s">
        <v>78</v>
      </c>
      <c r="P10" s="2" t="s">
        <v>23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customFormat="false" ht="23.85" hidden="false" customHeight="false" outlineLevel="0" collapsed="false">
      <c r="A11" s="2" t="n">
        <v>8</v>
      </c>
      <c r="B11" s="2"/>
      <c r="C11" s="2"/>
      <c r="D11" s="3" t="s">
        <v>79</v>
      </c>
      <c r="E11" s="2"/>
      <c r="F11" s="2" t="n">
        <v>1</v>
      </c>
      <c r="G11" s="2" t="n">
        <v>1</v>
      </c>
      <c r="H11" s="2"/>
      <c r="I11" s="2"/>
      <c r="J11" s="13" t="n">
        <v>6.5</v>
      </c>
      <c r="K11" s="4" t="n">
        <v>6.5</v>
      </c>
      <c r="L11" s="2"/>
      <c r="M11" s="6" t="s">
        <v>80</v>
      </c>
      <c r="N11" s="5" t="s">
        <v>81</v>
      </c>
      <c r="O11" s="5" t="s">
        <v>82</v>
      </c>
      <c r="P11" s="2" t="s">
        <v>23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customFormat="false" ht="23.85" hidden="false" customHeight="false" outlineLevel="0" collapsed="false">
      <c r="A12" s="2" t="n">
        <v>9</v>
      </c>
      <c r="B12" s="2" t="s">
        <v>83</v>
      </c>
      <c r="C12" s="2" t="s">
        <v>84</v>
      </c>
      <c r="D12" s="3" t="s">
        <v>85</v>
      </c>
      <c r="E12" s="2"/>
      <c r="F12" s="2" t="n">
        <v>1</v>
      </c>
      <c r="G12" s="2" t="n">
        <v>1</v>
      </c>
      <c r="H12" s="2" t="s">
        <v>61</v>
      </c>
      <c r="I12" s="2" t="s">
        <v>86</v>
      </c>
      <c r="J12" s="2" t="n">
        <v>1.53</v>
      </c>
      <c r="K12" s="4" t="s">
        <v>87</v>
      </c>
      <c r="L12" s="2" t="n">
        <v>1</v>
      </c>
      <c r="M12" s="5" t="s">
        <v>88</v>
      </c>
      <c r="N12" s="6" t="s">
        <v>23</v>
      </c>
      <c r="O12" s="5" t="s">
        <v>89</v>
      </c>
      <c r="P12" s="2" t="s">
        <v>23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customFormat="false" ht="15" hidden="false" customHeight="false" outlineLevel="0" collapsed="false">
      <c r="A13" s="2" t="n">
        <v>10</v>
      </c>
      <c r="B13" s="2" t="s">
        <v>90</v>
      </c>
      <c r="C13" s="2" t="s">
        <v>51</v>
      </c>
      <c r="D13" s="3" t="s">
        <v>52</v>
      </c>
      <c r="E13" s="2"/>
      <c r="F13" s="2" t="n">
        <v>1</v>
      </c>
      <c r="G13" s="2" t="n">
        <v>1</v>
      </c>
      <c r="H13" s="2" t="s">
        <v>53</v>
      </c>
      <c r="I13" s="2" t="s">
        <v>91</v>
      </c>
      <c r="J13" s="2" t="n">
        <v>0.99</v>
      </c>
      <c r="K13" s="4" t="s">
        <v>92</v>
      </c>
      <c r="L13" s="2" t="n">
        <v>1</v>
      </c>
      <c r="M13" s="5" t="s">
        <v>93</v>
      </c>
      <c r="N13" s="6" t="s">
        <v>23</v>
      </c>
      <c r="O13" s="5" t="s">
        <v>94</v>
      </c>
      <c r="P13" s="2" t="s">
        <v>23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customFormat="false" ht="23.85" hidden="false" customHeight="false" outlineLevel="0" collapsed="false">
      <c r="A14" s="2" t="n">
        <v>11</v>
      </c>
      <c r="B14" s="2" t="s">
        <v>95</v>
      </c>
      <c r="C14" s="2" t="s">
        <v>17</v>
      </c>
      <c r="D14" s="3" t="s">
        <v>96</v>
      </c>
      <c r="E14" s="2"/>
      <c r="F14" s="2" t="n">
        <v>1</v>
      </c>
      <c r="G14" s="2" t="n">
        <v>1</v>
      </c>
      <c r="H14" s="2" t="s">
        <v>19</v>
      </c>
      <c r="I14" s="2" t="s">
        <v>97</v>
      </c>
      <c r="J14" s="2" t="n">
        <v>0.46</v>
      </c>
      <c r="K14" s="4" t="s">
        <v>98</v>
      </c>
      <c r="L14" s="2" t="n">
        <v>1</v>
      </c>
      <c r="M14" s="5" t="s">
        <v>99</v>
      </c>
      <c r="N14" s="6" t="s">
        <v>23</v>
      </c>
      <c r="O14" s="5" t="s">
        <v>100</v>
      </c>
      <c r="P14" s="2" t="s">
        <v>23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customFormat="false" ht="23.85" hidden="false" customHeight="false" outlineLevel="0" collapsed="false">
      <c r="A15" s="2" t="n">
        <v>12</v>
      </c>
      <c r="B15" s="2" t="s">
        <v>101</v>
      </c>
      <c r="C15" s="2" t="s">
        <v>102</v>
      </c>
      <c r="D15" s="3" t="s">
        <v>103</v>
      </c>
      <c r="E15" s="2"/>
      <c r="F15" s="2" t="n">
        <v>1</v>
      </c>
      <c r="G15" s="2" t="n">
        <v>1</v>
      </c>
      <c r="H15" s="2" t="s">
        <v>61</v>
      </c>
      <c r="I15" s="2" t="s">
        <v>104</v>
      </c>
      <c r="J15" s="2" t="n">
        <v>0.39</v>
      </c>
      <c r="K15" s="4" t="s">
        <v>105</v>
      </c>
      <c r="L15" s="2" t="n">
        <v>1</v>
      </c>
      <c r="M15" s="8" t="s">
        <v>106</v>
      </c>
      <c r="N15" s="6" t="s">
        <v>23</v>
      </c>
      <c r="O15" s="5" t="s">
        <v>107</v>
      </c>
      <c r="P15" s="2" t="s">
        <v>23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customFormat="false" ht="23.85" hidden="false" customHeight="false" outlineLevel="0" collapsed="false">
      <c r="A16" s="2" t="n">
        <v>13</v>
      </c>
      <c r="B16" s="2" t="s">
        <v>108</v>
      </c>
      <c r="C16" s="2" t="s">
        <v>109</v>
      </c>
      <c r="D16" s="3" t="s">
        <v>110</v>
      </c>
      <c r="E16" s="2"/>
      <c r="F16" s="2" t="n">
        <v>1</v>
      </c>
      <c r="G16" s="2" t="n">
        <v>1</v>
      </c>
      <c r="H16" s="2" t="s">
        <v>53</v>
      </c>
      <c r="I16" s="2" t="s">
        <v>111</v>
      </c>
      <c r="J16" s="2" t="n">
        <v>1.02</v>
      </c>
      <c r="K16" s="4" t="s">
        <v>112</v>
      </c>
      <c r="L16" s="2" t="n">
        <v>1</v>
      </c>
      <c r="M16" s="8" t="s">
        <v>113</v>
      </c>
      <c r="N16" s="6" t="s">
        <v>23</v>
      </c>
      <c r="O16" s="5" t="s">
        <v>114</v>
      </c>
      <c r="P16" s="2" t="s">
        <v>23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customFormat="false" ht="15" hidden="true" customHeight="false" outlineLevel="0" collapsed="false">
      <c r="A17" s="9" t="n">
        <v>14</v>
      </c>
      <c r="B17" s="9" t="s">
        <v>115</v>
      </c>
      <c r="C17" s="9" t="s">
        <v>116</v>
      </c>
      <c r="D17" s="3" t="s">
        <v>117</v>
      </c>
      <c r="E17" s="9"/>
      <c r="F17" s="9" t="n">
        <v>1</v>
      </c>
      <c r="G17" s="9" t="n">
        <v>1</v>
      </c>
      <c r="H17" s="9" t="s">
        <v>19</v>
      </c>
      <c r="I17" s="9" t="s">
        <v>118</v>
      </c>
      <c r="J17" s="9" t="s">
        <v>119</v>
      </c>
      <c r="K17" s="10" t="s">
        <v>120</v>
      </c>
      <c r="L17" s="9" t="n">
        <v>1</v>
      </c>
      <c r="M17" s="11"/>
      <c r="N17" s="11"/>
      <c r="O17" s="12" t="s">
        <v>121</v>
      </c>
      <c r="P17" s="2" t="s">
        <v>23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customFormat="false" ht="15" hidden="false" customHeight="false" outlineLevel="0" collapsed="false">
      <c r="A18" s="2" t="n">
        <v>15</v>
      </c>
      <c r="B18" s="2" t="s">
        <v>122</v>
      </c>
      <c r="C18" s="2" t="s">
        <v>123</v>
      </c>
      <c r="D18" s="3" t="s">
        <v>124</v>
      </c>
      <c r="E18" s="2"/>
      <c r="F18" s="2" t="n">
        <v>1</v>
      </c>
      <c r="G18" s="2" t="n">
        <v>1</v>
      </c>
      <c r="H18" s="2" t="s">
        <v>125</v>
      </c>
      <c r="I18" s="2" t="s">
        <v>126</v>
      </c>
      <c r="J18" s="2" t="n">
        <v>0.36</v>
      </c>
      <c r="K18" s="4" t="s">
        <v>127</v>
      </c>
      <c r="L18" s="2" t="n">
        <v>1</v>
      </c>
      <c r="M18" s="8" t="s">
        <v>128</v>
      </c>
      <c r="N18" s="6" t="s">
        <v>23</v>
      </c>
      <c r="O18" s="5" t="s">
        <v>129</v>
      </c>
      <c r="P18" s="2" t="s">
        <v>23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customFormat="false" ht="15" hidden="false" customHeight="false" outlineLevel="0" collapsed="false">
      <c r="A19" s="2" t="n">
        <v>16</v>
      </c>
      <c r="B19" s="2" t="s">
        <v>130</v>
      </c>
      <c r="C19" s="2" t="s">
        <v>123</v>
      </c>
      <c r="D19" s="3" t="s">
        <v>131</v>
      </c>
      <c r="E19" s="2"/>
      <c r="F19" s="2" t="n">
        <v>1</v>
      </c>
      <c r="G19" s="2" t="n">
        <v>1</v>
      </c>
      <c r="H19" s="2" t="s">
        <v>125</v>
      </c>
      <c r="I19" s="2" t="s">
        <v>132</v>
      </c>
      <c r="J19" s="2" t="n">
        <v>0.36</v>
      </c>
      <c r="K19" s="4" t="s">
        <v>133</v>
      </c>
      <c r="L19" s="2" t="n">
        <v>1</v>
      </c>
      <c r="M19" s="5" t="s">
        <v>134</v>
      </c>
      <c r="N19" s="6" t="s">
        <v>23</v>
      </c>
      <c r="O19" s="5" t="s">
        <v>129</v>
      </c>
      <c r="P19" s="2" t="s">
        <v>23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customFormat="false" ht="15" hidden="false" customHeight="false" outlineLevel="0" collapsed="false">
      <c r="A20" s="2" t="n">
        <v>17</v>
      </c>
      <c r="B20" s="2" t="s">
        <v>135</v>
      </c>
      <c r="C20" s="2" t="s">
        <v>123</v>
      </c>
      <c r="D20" s="3" t="s">
        <v>136</v>
      </c>
      <c r="E20" s="2"/>
      <c r="F20" s="2" t="n">
        <v>1</v>
      </c>
      <c r="G20" s="2" t="n">
        <v>1</v>
      </c>
      <c r="H20" s="2" t="s">
        <v>125</v>
      </c>
      <c r="I20" s="2" t="s">
        <v>137</v>
      </c>
      <c r="J20" s="2" t="n">
        <v>0.4</v>
      </c>
      <c r="K20" s="4" t="s">
        <v>138</v>
      </c>
      <c r="L20" s="2" t="n">
        <v>1</v>
      </c>
      <c r="M20" s="8" t="s">
        <v>139</v>
      </c>
      <c r="N20" s="6" t="s">
        <v>23</v>
      </c>
      <c r="O20" s="5" t="s">
        <v>129</v>
      </c>
      <c r="P20" s="2" t="s">
        <v>23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customFormat="false" ht="15" hidden="false" customHeight="false" outlineLevel="0" collapsed="false">
      <c r="A21" s="2" t="n">
        <v>18</v>
      </c>
      <c r="B21" s="2" t="s">
        <v>140</v>
      </c>
      <c r="C21" s="2" t="s">
        <v>123</v>
      </c>
      <c r="D21" s="3" t="s">
        <v>141</v>
      </c>
      <c r="E21" s="2"/>
      <c r="F21" s="2" t="n">
        <v>1</v>
      </c>
      <c r="G21" s="2" t="n">
        <v>1</v>
      </c>
      <c r="H21" s="2" t="s">
        <v>125</v>
      </c>
      <c r="I21" s="2" t="s">
        <v>142</v>
      </c>
      <c r="J21" s="2" t="n">
        <v>0.35</v>
      </c>
      <c r="K21" s="4" t="s">
        <v>143</v>
      </c>
      <c r="L21" s="2" t="n">
        <v>1</v>
      </c>
      <c r="M21" s="8" t="s">
        <v>144</v>
      </c>
      <c r="N21" s="6" t="s">
        <v>23</v>
      </c>
      <c r="O21" s="5" t="s">
        <v>129</v>
      </c>
      <c r="P21" s="2" t="s">
        <v>23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customFormat="false" ht="15" hidden="false" customHeight="false" outlineLevel="0" collapsed="false">
      <c r="A22" s="2" t="n">
        <v>19</v>
      </c>
      <c r="B22" s="2" t="s">
        <v>145</v>
      </c>
      <c r="C22" s="2" t="s">
        <v>123</v>
      </c>
      <c r="D22" s="2" t="s">
        <v>146</v>
      </c>
      <c r="E22" s="2"/>
      <c r="F22" s="2" t="n">
        <v>1</v>
      </c>
      <c r="G22" s="2" t="n">
        <v>1</v>
      </c>
      <c r="H22" s="2" t="s">
        <v>125</v>
      </c>
      <c r="I22" s="2" t="s">
        <v>147</v>
      </c>
      <c r="J22" s="2" t="n">
        <v>0.36</v>
      </c>
      <c r="K22" s="4" t="s">
        <v>127</v>
      </c>
      <c r="L22" s="2" t="n">
        <v>1</v>
      </c>
      <c r="M22" s="8" t="s">
        <v>148</v>
      </c>
      <c r="N22" s="6" t="s">
        <v>23</v>
      </c>
      <c r="O22" s="5" t="s">
        <v>129</v>
      </c>
      <c r="P22" s="2" t="s">
        <v>23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customFormat="false" ht="15.75" hidden="false" customHeight="true" outlineLevel="0" collapsed="false">
      <c r="A23" s="2" t="n">
        <v>20</v>
      </c>
      <c r="B23" s="2" t="s">
        <v>149</v>
      </c>
      <c r="C23" s="2" t="s">
        <v>67</v>
      </c>
      <c r="D23" s="3" t="s">
        <v>150</v>
      </c>
      <c r="E23" s="2"/>
      <c r="F23" s="2" t="n">
        <v>1</v>
      </c>
      <c r="G23" s="2" t="n">
        <v>1</v>
      </c>
      <c r="H23" s="2" t="s">
        <v>19</v>
      </c>
      <c r="I23" s="2" t="s">
        <v>151</v>
      </c>
      <c r="J23" s="2" t="n">
        <v>17.5</v>
      </c>
      <c r="K23" s="4" t="s">
        <v>152</v>
      </c>
      <c r="L23" s="2" t="n">
        <v>1</v>
      </c>
      <c r="M23" s="14" t="s">
        <v>153</v>
      </c>
      <c r="N23" s="6"/>
      <c r="O23" s="5" t="s">
        <v>154</v>
      </c>
      <c r="P23" s="2" t="s">
        <v>23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customFormat="false" ht="15.75" hidden="false" customHeight="true" outlineLevel="0" collapsed="false">
      <c r="A24" s="2" t="n">
        <v>21</v>
      </c>
      <c r="B24" s="2" t="s">
        <v>155</v>
      </c>
      <c r="C24" s="2" t="s">
        <v>156</v>
      </c>
      <c r="D24" s="3" t="s">
        <v>157</v>
      </c>
      <c r="E24" s="2"/>
      <c r="F24" s="2" t="n">
        <v>1</v>
      </c>
      <c r="G24" s="2" t="n">
        <v>1</v>
      </c>
      <c r="H24" s="2" t="s">
        <v>61</v>
      </c>
      <c r="I24" s="2" t="s">
        <v>158</v>
      </c>
      <c r="J24" s="15" t="n">
        <v>0.18</v>
      </c>
      <c r="K24" s="4" t="n">
        <v>0.18</v>
      </c>
      <c r="L24" s="2" t="n">
        <v>1</v>
      </c>
      <c r="M24" s="5" t="s">
        <v>159</v>
      </c>
      <c r="N24" s="6" t="s">
        <v>23</v>
      </c>
      <c r="O24" s="16" t="s">
        <v>160</v>
      </c>
      <c r="P24" s="2" t="s">
        <v>23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customFormat="false" ht="15.75" hidden="true" customHeight="true" outlineLevel="0" collapsed="false">
      <c r="A25" s="9" t="n">
        <v>22</v>
      </c>
      <c r="B25" s="9" t="s">
        <v>161</v>
      </c>
      <c r="C25" s="9" t="s">
        <v>162</v>
      </c>
      <c r="D25" s="3" t="s">
        <v>163</v>
      </c>
      <c r="E25" s="9"/>
      <c r="F25" s="9" t="n">
        <v>2</v>
      </c>
      <c r="G25" s="9" t="n">
        <v>1</v>
      </c>
      <c r="H25" s="9" t="s">
        <v>19</v>
      </c>
      <c r="I25" s="9" t="s">
        <v>164</v>
      </c>
      <c r="J25" s="17" t="n">
        <v>1.01</v>
      </c>
      <c r="K25" s="10" t="n">
        <v>1.01</v>
      </c>
      <c r="L25" s="9" t="n">
        <v>1</v>
      </c>
      <c r="M25" s="11"/>
      <c r="N25" s="11"/>
      <c r="O25" s="18" t="s">
        <v>165</v>
      </c>
      <c r="P25" s="2" t="s">
        <v>23</v>
      </c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 customFormat="false" ht="15.75" hidden="false" customHeight="true" outlineLevel="0" collapsed="false">
      <c r="A26" s="2" t="n">
        <v>22</v>
      </c>
      <c r="B26" s="2"/>
      <c r="C26" s="2" t="s">
        <v>166</v>
      </c>
      <c r="D26" s="2" t="s">
        <v>167</v>
      </c>
      <c r="E26" s="2"/>
      <c r="F26" s="2" t="n">
        <v>1</v>
      </c>
      <c r="G26" s="2" t="n">
        <v>1</v>
      </c>
      <c r="H26" s="2"/>
      <c r="I26" s="2"/>
      <c r="J26" s="13" t="n">
        <v>3.14</v>
      </c>
      <c r="K26" s="4" t="n">
        <v>3.14</v>
      </c>
      <c r="L26" s="2"/>
      <c r="M26" s="5" t="s">
        <v>168</v>
      </c>
      <c r="N26" s="6" t="s">
        <v>23</v>
      </c>
      <c r="O26" s="6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customFormat="false" ht="15.75" hidden="false" customHeight="true" outlineLevel="0" collapsed="false">
      <c r="A27" s="2" t="n">
        <v>23</v>
      </c>
      <c r="B27" s="2"/>
      <c r="C27" s="2"/>
      <c r="D27" s="2" t="s">
        <v>169</v>
      </c>
      <c r="E27" s="2"/>
      <c r="F27" s="2" t="n">
        <v>2</v>
      </c>
      <c r="G27" s="2" t="n">
        <v>2</v>
      </c>
      <c r="H27" s="2"/>
      <c r="I27" s="2"/>
      <c r="J27" s="13" t="n">
        <v>0.53</v>
      </c>
      <c r="K27" s="4" t="n">
        <f aca="false">J27*2</f>
        <v>1.06</v>
      </c>
      <c r="L27" s="2"/>
      <c r="M27" s="5" t="s">
        <v>170</v>
      </c>
      <c r="N27" s="6" t="s">
        <v>23</v>
      </c>
      <c r="O27" s="6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customFormat="false" ht="15.75" hidden="false" customHeight="true" outlineLevel="0" collapsed="false">
      <c r="A28" s="2" t="n">
        <v>24</v>
      </c>
      <c r="B28" s="2"/>
      <c r="C28" s="2" t="s">
        <v>171</v>
      </c>
      <c r="D28" s="2" t="s">
        <v>172</v>
      </c>
      <c r="E28" s="2"/>
      <c r="F28" s="2" t="n">
        <v>1</v>
      </c>
      <c r="G28" s="2" t="n">
        <v>1</v>
      </c>
      <c r="H28" s="2"/>
      <c r="I28" s="2"/>
      <c r="J28" s="13" t="n">
        <v>4.72</v>
      </c>
      <c r="K28" s="4" t="n">
        <v>4.72</v>
      </c>
      <c r="L28" s="2" t="n">
        <v>1</v>
      </c>
      <c r="M28" s="6" t="s">
        <v>173</v>
      </c>
      <c r="O28" s="6"/>
      <c r="P28" s="2" t="s">
        <v>23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6"/>
      <c r="N29" s="6"/>
      <c r="O29" s="6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 t="n">
        <f aca="false">SUM(J2:J28)</f>
        <v>44.48</v>
      </c>
      <c r="K30" s="2" t="n">
        <f aca="false">SUM(K2:K29)</f>
        <v>16.71</v>
      </c>
      <c r="L30" s="2"/>
      <c r="M30" s="6"/>
      <c r="N30" s="6"/>
      <c r="O30" s="6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6"/>
      <c r="N31" s="6"/>
      <c r="O31" s="6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6"/>
      <c r="N32" s="6"/>
      <c r="O32" s="6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6"/>
      <c r="N33" s="6"/>
      <c r="O33" s="6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6"/>
      <c r="N34" s="6"/>
      <c r="O34" s="6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6"/>
      <c r="N35" s="6"/>
      <c r="O35" s="6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6"/>
      <c r="N36" s="6"/>
      <c r="O36" s="6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6"/>
      <c r="N37" s="6"/>
      <c r="O37" s="6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6"/>
      <c r="N38" s="6"/>
      <c r="O38" s="6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6"/>
      <c r="N39" s="6"/>
      <c r="O39" s="6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6"/>
      <c r="N40" s="6"/>
      <c r="O40" s="6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6"/>
      <c r="N41" s="6"/>
      <c r="O41" s="6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6"/>
      <c r="N42" s="6"/>
      <c r="O42" s="6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6"/>
      <c r="N43" s="6"/>
      <c r="O43" s="6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6"/>
      <c r="N44" s="6"/>
      <c r="O44" s="6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6"/>
      <c r="N45" s="6"/>
      <c r="O45" s="6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6"/>
      <c r="N46" s="6"/>
      <c r="O46" s="6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6"/>
      <c r="N47" s="6"/>
      <c r="O47" s="6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6"/>
      <c r="N48" s="6"/>
      <c r="O48" s="6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6"/>
      <c r="N49" s="6"/>
      <c r="O49" s="6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6"/>
      <c r="N50" s="6"/>
      <c r="O50" s="6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6"/>
      <c r="N51" s="6"/>
      <c r="O51" s="6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6"/>
      <c r="N52" s="6"/>
      <c r="O52" s="6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6"/>
      <c r="N53" s="6"/>
      <c r="O53" s="6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6"/>
      <c r="N54" s="6"/>
      <c r="O54" s="6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6"/>
      <c r="N55" s="6"/>
      <c r="O55" s="6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6"/>
      <c r="N56" s="6"/>
      <c r="O56" s="6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6"/>
      <c r="N57" s="6"/>
      <c r="O57" s="6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6"/>
      <c r="N58" s="6"/>
      <c r="O58" s="6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6"/>
      <c r="N59" s="6"/>
      <c r="O59" s="6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6"/>
      <c r="N60" s="6"/>
      <c r="O60" s="6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6"/>
      <c r="N61" s="6"/>
      <c r="O61" s="6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6"/>
      <c r="N62" s="6"/>
      <c r="O62" s="6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6"/>
      <c r="N63" s="6"/>
      <c r="O63" s="6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6"/>
      <c r="N64" s="6"/>
      <c r="O64" s="6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6"/>
      <c r="N65" s="6"/>
      <c r="O65" s="6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6"/>
      <c r="N66" s="6"/>
      <c r="O66" s="6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6"/>
      <c r="N67" s="6"/>
      <c r="O67" s="6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6"/>
      <c r="N68" s="6"/>
      <c r="O68" s="6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6"/>
      <c r="N69" s="6"/>
      <c r="O69" s="6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6"/>
      <c r="N70" s="6"/>
      <c r="O70" s="6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6"/>
      <c r="N71" s="6"/>
      <c r="O71" s="6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6"/>
      <c r="N72" s="6"/>
      <c r="O72" s="6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6"/>
      <c r="N73" s="6"/>
      <c r="O73" s="6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6"/>
      <c r="N74" s="6"/>
      <c r="O74" s="6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6"/>
      <c r="N75" s="6"/>
      <c r="O75" s="6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6"/>
      <c r="N76" s="6"/>
      <c r="O76" s="6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6"/>
      <c r="N77" s="6"/>
      <c r="O77" s="6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6"/>
      <c r="N78" s="6"/>
      <c r="O78" s="6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6"/>
      <c r="N79" s="6"/>
      <c r="O79" s="6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6"/>
      <c r="N80" s="6"/>
      <c r="O80" s="6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6"/>
      <c r="N81" s="6"/>
      <c r="O81" s="6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6"/>
      <c r="N82" s="6"/>
      <c r="O82" s="6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6"/>
      <c r="N83" s="6"/>
      <c r="O83" s="6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6"/>
      <c r="N84" s="6"/>
      <c r="O84" s="6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6"/>
      <c r="N85" s="6"/>
      <c r="O85" s="6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6"/>
      <c r="N86" s="6"/>
      <c r="O86" s="6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6"/>
      <c r="N87" s="6"/>
      <c r="O87" s="6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6"/>
      <c r="N88" s="6"/>
      <c r="O88" s="6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6"/>
      <c r="N89" s="6"/>
      <c r="O89" s="6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6"/>
      <c r="N90" s="6"/>
      <c r="O90" s="6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6"/>
      <c r="N91" s="6"/>
      <c r="O91" s="6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6"/>
      <c r="N92" s="6"/>
      <c r="O92" s="6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6"/>
      <c r="N93" s="6"/>
      <c r="O93" s="6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6"/>
      <c r="N94" s="6"/>
      <c r="O94" s="6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6"/>
      <c r="N95" s="6"/>
      <c r="O95" s="6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6"/>
      <c r="N96" s="6"/>
      <c r="O96" s="6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6"/>
      <c r="N97" s="6"/>
      <c r="O97" s="6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6"/>
      <c r="N98" s="6"/>
      <c r="O98" s="6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6"/>
      <c r="N99" s="6"/>
      <c r="O99" s="6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6"/>
      <c r="N100" s="6"/>
      <c r="O100" s="6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6"/>
      <c r="N101" s="6"/>
      <c r="O101" s="6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6"/>
      <c r="N102" s="6"/>
      <c r="O102" s="6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6"/>
      <c r="N103" s="6"/>
      <c r="O103" s="6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6"/>
      <c r="N104" s="6"/>
      <c r="O104" s="6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6"/>
      <c r="N105" s="6"/>
      <c r="O105" s="6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6"/>
      <c r="N106" s="6"/>
      <c r="O106" s="6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6"/>
      <c r="N107" s="6"/>
      <c r="O107" s="6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6"/>
      <c r="N108" s="6"/>
      <c r="O108" s="6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6"/>
      <c r="N109" s="6"/>
      <c r="O109" s="6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6"/>
      <c r="N110" s="6"/>
      <c r="O110" s="6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6"/>
      <c r="N111" s="6"/>
      <c r="O111" s="6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6"/>
      <c r="N112" s="6"/>
      <c r="O112" s="6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6"/>
      <c r="N113" s="6"/>
      <c r="O113" s="6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6"/>
      <c r="N114" s="6"/>
      <c r="O114" s="6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6"/>
      <c r="N115" s="6"/>
      <c r="O115" s="6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6"/>
      <c r="N116" s="6"/>
      <c r="O116" s="6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6"/>
      <c r="N117" s="6"/>
      <c r="O117" s="6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6"/>
      <c r="N118" s="6"/>
      <c r="O118" s="6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6"/>
      <c r="N119" s="6"/>
      <c r="O119" s="6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6"/>
      <c r="N120" s="6"/>
      <c r="O120" s="6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6"/>
      <c r="N121" s="6"/>
      <c r="O121" s="6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6"/>
      <c r="N122" s="6"/>
      <c r="O122" s="6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6"/>
      <c r="N123" s="6"/>
      <c r="O123" s="6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6"/>
      <c r="N124" s="6"/>
      <c r="O124" s="6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6"/>
      <c r="N125" s="6"/>
      <c r="O125" s="6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6"/>
      <c r="N126" s="6"/>
      <c r="O126" s="6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6"/>
      <c r="N127" s="6"/>
      <c r="O127" s="6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6"/>
      <c r="N128" s="6"/>
      <c r="O128" s="6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6"/>
      <c r="N129" s="6"/>
      <c r="O129" s="6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6"/>
      <c r="N130" s="6"/>
      <c r="O130" s="6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6"/>
      <c r="N131" s="6"/>
      <c r="O131" s="6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6"/>
      <c r="N132" s="6"/>
      <c r="O132" s="6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6"/>
      <c r="N133" s="6"/>
      <c r="O133" s="6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6"/>
      <c r="N134" s="6"/>
      <c r="O134" s="6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6"/>
      <c r="N135" s="6"/>
      <c r="O135" s="6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6"/>
      <c r="N136" s="6"/>
      <c r="O136" s="6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6"/>
      <c r="N137" s="6"/>
      <c r="O137" s="6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6"/>
      <c r="N138" s="6"/>
      <c r="O138" s="6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6"/>
      <c r="N139" s="6"/>
      <c r="O139" s="6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6"/>
      <c r="N140" s="6"/>
      <c r="O140" s="6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6"/>
      <c r="N141" s="6"/>
      <c r="O141" s="6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6"/>
      <c r="N142" s="6"/>
      <c r="O142" s="6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6"/>
      <c r="N143" s="6"/>
      <c r="O143" s="6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6"/>
      <c r="N144" s="6"/>
      <c r="O144" s="6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6"/>
      <c r="N145" s="6"/>
      <c r="O145" s="6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6"/>
      <c r="N146" s="6"/>
      <c r="O146" s="6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6"/>
      <c r="N147" s="6"/>
      <c r="O147" s="6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6"/>
      <c r="N148" s="6"/>
      <c r="O148" s="6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6"/>
      <c r="N149" s="6"/>
      <c r="O149" s="6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6"/>
      <c r="N150" s="6"/>
      <c r="O150" s="6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6"/>
      <c r="N151" s="6"/>
      <c r="O151" s="6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6"/>
      <c r="N152" s="6"/>
      <c r="O152" s="6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6"/>
      <c r="N153" s="6"/>
      <c r="O153" s="6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6"/>
      <c r="N154" s="6"/>
      <c r="O154" s="6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6"/>
      <c r="N155" s="6"/>
      <c r="O155" s="6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6"/>
      <c r="N156" s="6"/>
      <c r="O156" s="6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6"/>
      <c r="N157" s="6"/>
      <c r="O157" s="6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6"/>
      <c r="N158" s="6"/>
      <c r="O158" s="6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6"/>
      <c r="N159" s="6"/>
      <c r="O159" s="6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6"/>
      <c r="N160" s="6"/>
      <c r="O160" s="6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6"/>
      <c r="N161" s="6"/>
      <c r="O161" s="6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6"/>
      <c r="N162" s="6"/>
      <c r="O162" s="6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6"/>
      <c r="N163" s="6"/>
      <c r="O163" s="6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6"/>
      <c r="N164" s="6"/>
      <c r="O164" s="6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6"/>
      <c r="N165" s="6"/>
      <c r="O165" s="6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6"/>
      <c r="N166" s="6"/>
      <c r="O166" s="6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6"/>
      <c r="N167" s="6"/>
      <c r="O167" s="6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6"/>
      <c r="N168" s="6"/>
      <c r="O168" s="6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6"/>
      <c r="N169" s="6"/>
      <c r="O169" s="6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6"/>
      <c r="N170" s="6"/>
      <c r="O170" s="6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6"/>
      <c r="N171" s="6"/>
      <c r="O171" s="6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6"/>
      <c r="N172" s="6"/>
      <c r="O172" s="6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6"/>
      <c r="N173" s="6"/>
      <c r="O173" s="6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6"/>
      <c r="N174" s="6"/>
      <c r="O174" s="6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6"/>
      <c r="N175" s="6"/>
      <c r="O175" s="6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6"/>
      <c r="N176" s="6"/>
      <c r="O176" s="6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6"/>
      <c r="N177" s="6"/>
      <c r="O177" s="6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6"/>
      <c r="N178" s="6"/>
      <c r="O178" s="6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6"/>
      <c r="N179" s="6"/>
      <c r="O179" s="6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6"/>
      <c r="N180" s="6"/>
      <c r="O180" s="6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6"/>
      <c r="N181" s="6"/>
      <c r="O181" s="6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6"/>
      <c r="N182" s="6"/>
      <c r="O182" s="6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6"/>
      <c r="N183" s="6"/>
      <c r="O183" s="6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6"/>
      <c r="N184" s="6"/>
      <c r="O184" s="6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6"/>
      <c r="N185" s="6"/>
      <c r="O185" s="6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6"/>
      <c r="N186" s="6"/>
      <c r="O186" s="6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6"/>
      <c r="N187" s="6"/>
      <c r="O187" s="6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6"/>
      <c r="N188" s="6"/>
      <c r="O188" s="6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6"/>
      <c r="N189" s="6"/>
      <c r="O189" s="6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6"/>
      <c r="N190" s="6"/>
      <c r="O190" s="6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6"/>
      <c r="N191" s="6"/>
      <c r="O191" s="6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6"/>
      <c r="N192" s="6"/>
      <c r="O192" s="6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6"/>
      <c r="N193" s="6"/>
      <c r="O193" s="6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6"/>
      <c r="N194" s="6"/>
      <c r="O194" s="6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6"/>
      <c r="N195" s="6"/>
      <c r="O195" s="6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6"/>
      <c r="N196" s="6"/>
      <c r="O196" s="6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6"/>
      <c r="N197" s="6"/>
      <c r="O197" s="6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6"/>
      <c r="N198" s="6"/>
      <c r="O198" s="6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6"/>
      <c r="N199" s="6"/>
      <c r="O199" s="6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6"/>
      <c r="N200" s="6"/>
      <c r="O200" s="6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6"/>
      <c r="N201" s="6"/>
      <c r="O201" s="6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6"/>
      <c r="N202" s="6"/>
      <c r="O202" s="6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6"/>
      <c r="N203" s="6"/>
      <c r="O203" s="6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6"/>
      <c r="N204" s="6"/>
      <c r="O204" s="6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6"/>
      <c r="N205" s="6"/>
      <c r="O205" s="6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6"/>
      <c r="N206" s="6"/>
      <c r="O206" s="6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6"/>
      <c r="N207" s="6"/>
      <c r="O207" s="6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6"/>
      <c r="N208" s="6"/>
      <c r="O208" s="6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6"/>
      <c r="N209" s="6"/>
      <c r="O209" s="6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6"/>
      <c r="N210" s="6"/>
      <c r="O210" s="6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6"/>
      <c r="N211" s="6"/>
      <c r="O211" s="6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6"/>
      <c r="N212" s="6"/>
      <c r="O212" s="6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6"/>
      <c r="N213" s="6"/>
      <c r="O213" s="6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6"/>
      <c r="N214" s="6"/>
      <c r="O214" s="6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6"/>
      <c r="N215" s="6"/>
      <c r="O215" s="6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6"/>
      <c r="N216" s="6"/>
      <c r="O216" s="6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6"/>
      <c r="N217" s="6"/>
      <c r="O217" s="6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6"/>
      <c r="N218" s="6"/>
      <c r="O218" s="6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6"/>
      <c r="N219" s="6"/>
      <c r="O219" s="6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6"/>
      <c r="N220" s="6"/>
      <c r="O220" s="6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6"/>
      <c r="N221" s="6"/>
      <c r="O221" s="6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6"/>
      <c r="N222" s="6"/>
      <c r="O222" s="6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6"/>
      <c r="N223" s="6"/>
      <c r="O223" s="6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6"/>
      <c r="N224" s="6"/>
      <c r="O224" s="6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6"/>
      <c r="N225" s="6"/>
      <c r="O225" s="6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6"/>
      <c r="N226" s="6"/>
      <c r="O226" s="6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6"/>
      <c r="N227" s="6"/>
      <c r="O227" s="6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6"/>
      <c r="N228" s="6"/>
      <c r="O228" s="6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6"/>
      <c r="N229" s="6"/>
      <c r="O229" s="6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6"/>
      <c r="N230" s="6"/>
      <c r="O230" s="6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6"/>
      <c r="N231" s="6"/>
      <c r="O231" s="6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6"/>
      <c r="N232" s="6"/>
      <c r="O232" s="6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6"/>
      <c r="N233" s="6"/>
      <c r="O233" s="6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6"/>
      <c r="N234" s="6"/>
      <c r="O234" s="6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6"/>
      <c r="N235" s="6"/>
      <c r="O235" s="6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6"/>
      <c r="N236" s="6"/>
      <c r="O236" s="6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6"/>
      <c r="N237" s="6"/>
      <c r="O237" s="6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6"/>
      <c r="N238" s="6"/>
      <c r="O238" s="6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6"/>
      <c r="N239" s="6"/>
      <c r="O239" s="6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6"/>
      <c r="N240" s="6"/>
      <c r="O240" s="6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6"/>
      <c r="N241" s="6"/>
      <c r="O241" s="6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6"/>
      <c r="N242" s="6"/>
      <c r="O242" s="6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6"/>
      <c r="N243" s="6"/>
      <c r="O243" s="6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6"/>
      <c r="N244" s="6"/>
      <c r="O244" s="6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6"/>
      <c r="N245" s="6"/>
      <c r="O245" s="6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6"/>
      <c r="N246" s="6"/>
      <c r="O246" s="6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6"/>
      <c r="N247" s="6"/>
      <c r="O247" s="6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6"/>
      <c r="N248" s="6"/>
      <c r="O248" s="6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6"/>
      <c r="N249" s="6"/>
      <c r="O249" s="6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6"/>
      <c r="N250" s="6"/>
      <c r="O250" s="6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6"/>
      <c r="N251" s="6"/>
      <c r="O251" s="6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6"/>
      <c r="N252" s="6"/>
      <c r="O252" s="6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6"/>
      <c r="N253" s="6"/>
      <c r="O253" s="6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6"/>
      <c r="N254" s="6"/>
      <c r="O254" s="6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6"/>
      <c r="N255" s="6"/>
      <c r="O255" s="6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6"/>
      <c r="N256" s="6"/>
      <c r="O256" s="6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6"/>
      <c r="N257" s="6"/>
      <c r="O257" s="6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6"/>
      <c r="N258" s="6"/>
      <c r="O258" s="6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6"/>
      <c r="N259" s="6"/>
      <c r="O259" s="6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6"/>
      <c r="N260" s="6"/>
      <c r="O260" s="6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6"/>
      <c r="N261" s="6"/>
      <c r="O261" s="6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6"/>
      <c r="N262" s="6"/>
      <c r="O262" s="6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6"/>
      <c r="N263" s="6"/>
      <c r="O263" s="6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6"/>
      <c r="N264" s="6"/>
      <c r="O264" s="6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6"/>
      <c r="N265" s="6"/>
      <c r="O265" s="6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6"/>
      <c r="N266" s="6"/>
      <c r="O266" s="6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6"/>
      <c r="N267" s="6"/>
      <c r="O267" s="6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6"/>
      <c r="N268" s="6"/>
      <c r="O268" s="6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6"/>
      <c r="N269" s="6"/>
      <c r="O269" s="6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6"/>
      <c r="N270" s="6"/>
      <c r="O270" s="6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6"/>
      <c r="N271" s="6"/>
      <c r="O271" s="6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6"/>
      <c r="N272" s="6"/>
      <c r="O272" s="6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6"/>
      <c r="N273" s="6"/>
      <c r="O273" s="6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6"/>
      <c r="N274" s="6"/>
      <c r="O274" s="6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6"/>
      <c r="N275" s="6"/>
      <c r="O275" s="6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6"/>
      <c r="N276" s="6"/>
      <c r="O276" s="6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6"/>
      <c r="N277" s="6"/>
      <c r="O277" s="6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6"/>
      <c r="N278" s="6"/>
      <c r="O278" s="6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6"/>
      <c r="N279" s="6"/>
      <c r="O279" s="6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6"/>
      <c r="N280" s="6"/>
      <c r="O280" s="6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6"/>
      <c r="N281" s="6"/>
      <c r="O281" s="6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6"/>
      <c r="N282" s="6"/>
      <c r="O282" s="6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6"/>
      <c r="N283" s="6"/>
      <c r="O283" s="6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6"/>
      <c r="N284" s="6"/>
      <c r="O284" s="6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6"/>
      <c r="N285" s="6"/>
      <c r="O285" s="6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6"/>
      <c r="N286" s="6"/>
      <c r="O286" s="6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6"/>
      <c r="N287" s="6"/>
      <c r="O287" s="6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6"/>
      <c r="N288" s="6"/>
      <c r="O288" s="6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6"/>
      <c r="N289" s="6"/>
      <c r="O289" s="6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6"/>
      <c r="N290" s="6"/>
      <c r="O290" s="6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6"/>
      <c r="N291" s="6"/>
      <c r="O291" s="6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6"/>
      <c r="N292" s="6"/>
      <c r="O292" s="6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6"/>
      <c r="N293" s="6"/>
      <c r="O293" s="6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6"/>
      <c r="N294" s="6"/>
      <c r="O294" s="6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6"/>
      <c r="N295" s="6"/>
      <c r="O295" s="6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6"/>
      <c r="N296" s="6"/>
      <c r="O296" s="6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6"/>
      <c r="N297" s="6"/>
      <c r="O297" s="6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6"/>
      <c r="N298" s="6"/>
      <c r="O298" s="6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6"/>
      <c r="N299" s="6"/>
      <c r="O299" s="6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6"/>
      <c r="N300" s="6"/>
      <c r="O300" s="6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6"/>
      <c r="N301" s="6"/>
      <c r="O301" s="6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6"/>
      <c r="N302" s="6"/>
      <c r="O302" s="6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6"/>
      <c r="N303" s="6"/>
      <c r="O303" s="6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6"/>
      <c r="N304" s="6"/>
      <c r="O304" s="6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6"/>
      <c r="N305" s="6"/>
      <c r="O305" s="6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6"/>
      <c r="N306" s="6"/>
      <c r="O306" s="6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6"/>
      <c r="N307" s="6"/>
      <c r="O307" s="6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6"/>
      <c r="N308" s="6"/>
      <c r="O308" s="6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6"/>
      <c r="N309" s="6"/>
      <c r="O309" s="6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6"/>
      <c r="N310" s="6"/>
      <c r="O310" s="6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6"/>
      <c r="N311" s="6"/>
      <c r="O311" s="6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6"/>
      <c r="N312" s="6"/>
      <c r="O312" s="6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6"/>
      <c r="N313" s="6"/>
      <c r="O313" s="6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6"/>
      <c r="N314" s="6"/>
      <c r="O314" s="6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6"/>
      <c r="N315" s="6"/>
      <c r="O315" s="6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6"/>
      <c r="N316" s="6"/>
      <c r="O316" s="6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6"/>
      <c r="N317" s="6"/>
      <c r="O317" s="6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6"/>
      <c r="N318" s="6"/>
      <c r="O318" s="6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6"/>
      <c r="N319" s="6"/>
      <c r="O319" s="6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6"/>
      <c r="N320" s="6"/>
      <c r="O320" s="6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6"/>
      <c r="N321" s="6"/>
      <c r="O321" s="6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6"/>
      <c r="N322" s="6"/>
      <c r="O322" s="6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6"/>
      <c r="N323" s="6"/>
      <c r="O323" s="6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6"/>
      <c r="N324" s="6"/>
      <c r="O324" s="6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6"/>
      <c r="N325" s="6"/>
      <c r="O325" s="6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6"/>
      <c r="N326" s="6"/>
      <c r="O326" s="6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6"/>
      <c r="N327" s="6"/>
      <c r="O327" s="6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6"/>
      <c r="N328" s="6"/>
      <c r="O328" s="6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6"/>
      <c r="N329" s="6"/>
      <c r="O329" s="6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6"/>
      <c r="N330" s="6"/>
      <c r="O330" s="6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6"/>
      <c r="N331" s="6"/>
      <c r="O331" s="6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6"/>
      <c r="N332" s="6"/>
      <c r="O332" s="6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6"/>
      <c r="N333" s="6"/>
      <c r="O333" s="6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6"/>
      <c r="N334" s="6"/>
      <c r="O334" s="6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6"/>
      <c r="N335" s="6"/>
      <c r="O335" s="6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6"/>
      <c r="N336" s="6"/>
      <c r="O336" s="6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6"/>
      <c r="N337" s="6"/>
      <c r="O337" s="6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6"/>
      <c r="N338" s="6"/>
      <c r="O338" s="6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6"/>
      <c r="N339" s="6"/>
      <c r="O339" s="6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6"/>
      <c r="N340" s="6"/>
      <c r="O340" s="6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6"/>
      <c r="N341" s="6"/>
      <c r="O341" s="6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6"/>
      <c r="N342" s="6"/>
      <c r="O342" s="6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6"/>
      <c r="N343" s="6"/>
      <c r="O343" s="6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6"/>
      <c r="N344" s="6"/>
      <c r="O344" s="6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6"/>
      <c r="N345" s="6"/>
      <c r="O345" s="6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6"/>
      <c r="N346" s="6"/>
      <c r="O346" s="6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6"/>
      <c r="N347" s="6"/>
      <c r="O347" s="6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6"/>
      <c r="N348" s="6"/>
      <c r="O348" s="6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6"/>
      <c r="N349" s="6"/>
      <c r="O349" s="6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6"/>
      <c r="N350" s="6"/>
      <c r="O350" s="6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6"/>
      <c r="N351" s="6"/>
      <c r="O351" s="6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6"/>
      <c r="N352" s="6"/>
      <c r="O352" s="6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6"/>
      <c r="N353" s="6"/>
      <c r="O353" s="6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6"/>
      <c r="N354" s="6"/>
      <c r="O354" s="6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6"/>
      <c r="N355" s="6"/>
      <c r="O355" s="6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6"/>
      <c r="N356" s="6"/>
      <c r="O356" s="6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6"/>
      <c r="N357" s="6"/>
      <c r="O357" s="6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6"/>
      <c r="N358" s="6"/>
      <c r="O358" s="6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6"/>
      <c r="N359" s="6"/>
      <c r="O359" s="6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6"/>
      <c r="N360" s="6"/>
      <c r="O360" s="6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6"/>
      <c r="N361" s="6"/>
      <c r="O361" s="6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6"/>
      <c r="N362" s="6"/>
      <c r="O362" s="6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6"/>
      <c r="N363" s="6"/>
      <c r="O363" s="6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6"/>
      <c r="N364" s="6"/>
      <c r="O364" s="6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6"/>
      <c r="N365" s="6"/>
      <c r="O365" s="6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6"/>
      <c r="N366" s="6"/>
      <c r="O366" s="6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6"/>
      <c r="N367" s="6"/>
      <c r="O367" s="6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6"/>
      <c r="N368" s="6"/>
      <c r="O368" s="6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6"/>
      <c r="N369" s="6"/>
      <c r="O369" s="6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6"/>
      <c r="N370" s="6"/>
      <c r="O370" s="6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6"/>
      <c r="N371" s="6"/>
      <c r="O371" s="6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6"/>
      <c r="N372" s="6"/>
      <c r="O372" s="6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6"/>
      <c r="N373" s="6"/>
      <c r="O373" s="6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6"/>
      <c r="N374" s="6"/>
      <c r="O374" s="6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6"/>
      <c r="N375" s="6"/>
      <c r="O375" s="6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6"/>
      <c r="N376" s="6"/>
      <c r="O376" s="6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6"/>
      <c r="N377" s="6"/>
      <c r="O377" s="6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6"/>
      <c r="N378" s="6"/>
      <c r="O378" s="6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6"/>
      <c r="N379" s="6"/>
      <c r="O379" s="6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6"/>
      <c r="N380" s="6"/>
      <c r="O380" s="6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6"/>
      <c r="N381" s="6"/>
      <c r="O381" s="6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6"/>
      <c r="N382" s="6"/>
      <c r="O382" s="6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6"/>
      <c r="N383" s="6"/>
      <c r="O383" s="6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6"/>
      <c r="N384" s="6"/>
      <c r="O384" s="6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6"/>
      <c r="N385" s="6"/>
      <c r="O385" s="6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6"/>
      <c r="N386" s="6"/>
      <c r="O386" s="6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6"/>
      <c r="N387" s="6"/>
      <c r="O387" s="6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6"/>
      <c r="N388" s="6"/>
      <c r="O388" s="6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6"/>
      <c r="N389" s="6"/>
      <c r="O389" s="6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6"/>
      <c r="N390" s="6"/>
      <c r="O390" s="6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6"/>
      <c r="N391" s="6"/>
      <c r="O391" s="6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6"/>
      <c r="N392" s="6"/>
      <c r="O392" s="6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6"/>
      <c r="N393" s="6"/>
      <c r="O393" s="6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6"/>
      <c r="N394" s="6"/>
      <c r="O394" s="6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6"/>
      <c r="N395" s="6"/>
      <c r="O395" s="6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6"/>
      <c r="N396" s="6"/>
      <c r="O396" s="6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6"/>
      <c r="N397" s="6"/>
      <c r="O397" s="6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6"/>
      <c r="N398" s="6"/>
      <c r="O398" s="6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6"/>
      <c r="N399" s="6"/>
      <c r="O399" s="6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6"/>
      <c r="N400" s="6"/>
      <c r="O400" s="6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6"/>
      <c r="N401" s="6"/>
      <c r="O401" s="6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6"/>
      <c r="N402" s="6"/>
      <c r="O402" s="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6"/>
      <c r="N403" s="6"/>
      <c r="O403" s="6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6"/>
      <c r="N404" s="6"/>
      <c r="O404" s="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6"/>
      <c r="N405" s="6"/>
      <c r="O405" s="6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6"/>
      <c r="N406" s="6"/>
      <c r="O406" s="6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6"/>
      <c r="N407" s="6"/>
      <c r="O407" s="6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6"/>
      <c r="N408" s="6"/>
      <c r="O408" s="6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6"/>
      <c r="N409" s="6"/>
      <c r="O409" s="6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6"/>
      <c r="N410" s="6"/>
      <c r="O410" s="6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6"/>
      <c r="N411" s="6"/>
      <c r="O411" s="6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6"/>
      <c r="N412" s="6"/>
      <c r="O412" s="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6"/>
      <c r="N413" s="6"/>
      <c r="O413" s="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6"/>
      <c r="N414" s="6"/>
      <c r="O414" s="6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6"/>
      <c r="N415" s="6"/>
      <c r="O415" s="6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6"/>
      <c r="N416" s="6"/>
      <c r="O416" s="6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6"/>
      <c r="N417" s="6"/>
      <c r="O417" s="6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6"/>
      <c r="N418" s="6"/>
      <c r="O418" s="6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6"/>
      <c r="N419" s="6"/>
      <c r="O419" s="6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6"/>
      <c r="N420" s="6"/>
      <c r="O420" s="6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6"/>
      <c r="N421" s="6"/>
      <c r="O421" s="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6"/>
      <c r="N422" s="6"/>
      <c r="O422" s="6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6"/>
      <c r="N423" s="6"/>
      <c r="O423" s="6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6"/>
      <c r="N424" s="6"/>
      <c r="O424" s="6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6"/>
      <c r="N425" s="6"/>
      <c r="O425" s="6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6"/>
      <c r="N426" s="6"/>
      <c r="O426" s="6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6"/>
      <c r="N427" s="6"/>
      <c r="O427" s="6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6"/>
      <c r="N428" s="6"/>
      <c r="O428" s="6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6"/>
      <c r="N429" s="6"/>
      <c r="O429" s="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6"/>
      <c r="N430" s="6"/>
      <c r="O430" s="6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6"/>
      <c r="N431" s="6"/>
      <c r="O431" s="6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6"/>
      <c r="N432" s="6"/>
      <c r="O432" s="6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6"/>
      <c r="N433" s="6"/>
      <c r="O433" s="6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6"/>
      <c r="N434" s="6"/>
      <c r="O434" s="6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6"/>
      <c r="N435" s="6"/>
      <c r="O435" s="6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6"/>
      <c r="N436" s="6"/>
      <c r="O436" s="6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6"/>
      <c r="N437" s="6"/>
      <c r="O437" s="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6"/>
      <c r="N438" s="6"/>
      <c r="O438" s="6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6"/>
      <c r="N439" s="6"/>
      <c r="O439" s="6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6"/>
      <c r="N440" s="6"/>
      <c r="O440" s="6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6"/>
      <c r="N441" s="6"/>
      <c r="O441" s="6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6"/>
      <c r="N442" s="6"/>
      <c r="O442" s="6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6"/>
      <c r="N443" s="6"/>
      <c r="O443" s="6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6"/>
      <c r="N444" s="6"/>
      <c r="O444" s="6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6"/>
      <c r="N445" s="6"/>
      <c r="O445" s="6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6"/>
      <c r="N446" s="6"/>
      <c r="O446" s="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6"/>
      <c r="N447" s="6"/>
      <c r="O447" s="6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6"/>
      <c r="N448" s="6"/>
      <c r="O448" s="6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6"/>
      <c r="N449" s="6"/>
      <c r="O449" s="6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6"/>
      <c r="N450" s="6"/>
      <c r="O450" s="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6"/>
      <c r="N451" s="6"/>
      <c r="O451" s="6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6"/>
      <c r="N452" s="6"/>
      <c r="O452" s="6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6"/>
      <c r="N453" s="6"/>
      <c r="O453" s="6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6"/>
      <c r="N454" s="6"/>
      <c r="O454" s="6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6"/>
      <c r="N455" s="6"/>
      <c r="O455" s="6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6"/>
      <c r="N456" s="6"/>
      <c r="O456" s="6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6"/>
      <c r="N457" s="6"/>
      <c r="O457" s="6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6"/>
      <c r="N458" s="6"/>
      <c r="O458" s="6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6"/>
      <c r="N459" s="6"/>
      <c r="O459" s="6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6"/>
      <c r="N460" s="6"/>
      <c r="O460" s="6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6"/>
      <c r="N461" s="6"/>
      <c r="O461" s="6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6"/>
      <c r="N462" s="6"/>
      <c r="O462" s="6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6"/>
      <c r="N463" s="6"/>
      <c r="O463" s="6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6"/>
      <c r="N464" s="6"/>
      <c r="O464" s="6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6"/>
      <c r="N465" s="6"/>
      <c r="O465" s="6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6"/>
      <c r="N466" s="6"/>
      <c r="O466" s="6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6"/>
      <c r="N467" s="6"/>
      <c r="O467" s="6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6"/>
      <c r="N468" s="6"/>
      <c r="O468" s="6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6"/>
      <c r="N469" s="6"/>
      <c r="O469" s="6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6"/>
      <c r="N470" s="6"/>
      <c r="O470" s="6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6"/>
      <c r="N471" s="6"/>
      <c r="O471" s="6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6"/>
      <c r="N472" s="6"/>
      <c r="O472" s="6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6"/>
      <c r="N473" s="6"/>
      <c r="O473" s="6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6"/>
      <c r="N474" s="6"/>
      <c r="O474" s="6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6"/>
      <c r="N475" s="6"/>
      <c r="O475" s="6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6"/>
      <c r="N476" s="6"/>
      <c r="O476" s="6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6"/>
      <c r="N477" s="6"/>
      <c r="O477" s="6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6"/>
      <c r="N478" s="6"/>
      <c r="O478" s="6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6"/>
      <c r="N479" s="6"/>
      <c r="O479" s="6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6"/>
      <c r="N480" s="6"/>
      <c r="O480" s="6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6"/>
      <c r="N481" s="6"/>
      <c r="O481" s="6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6"/>
      <c r="N482" s="6"/>
      <c r="O482" s="6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6"/>
      <c r="N483" s="6"/>
      <c r="O483" s="6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6"/>
      <c r="N484" s="6"/>
      <c r="O484" s="6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6"/>
      <c r="N485" s="6"/>
      <c r="O485" s="6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6"/>
      <c r="N486" s="6"/>
      <c r="O486" s="6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6"/>
      <c r="N487" s="6"/>
      <c r="O487" s="6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6"/>
      <c r="N488" s="6"/>
      <c r="O488" s="6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6"/>
      <c r="N489" s="6"/>
      <c r="O489" s="6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6"/>
      <c r="N490" s="6"/>
      <c r="O490" s="6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6"/>
      <c r="N491" s="6"/>
      <c r="O491" s="6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6"/>
      <c r="N492" s="6"/>
      <c r="O492" s="6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6"/>
      <c r="N493" s="6"/>
      <c r="O493" s="6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6"/>
      <c r="N494" s="6"/>
      <c r="O494" s="6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6"/>
      <c r="N495" s="6"/>
      <c r="O495" s="6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6"/>
      <c r="N496" s="6"/>
      <c r="O496" s="6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6"/>
      <c r="N497" s="6"/>
      <c r="O497" s="6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6"/>
      <c r="N498" s="6"/>
      <c r="O498" s="6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6"/>
      <c r="N499" s="6"/>
      <c r="O499" s="6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6"/>
      <c r="N500" s="6"/>
      <c r="O500" s="6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6"/>
      <c r="N501" s="6"/>
      <c r="O501" s="6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6"/>
      <c r="N502" s="6"/>
      <c r="O502" s="6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6"/>
      <c r="N503" s="6"/>
      <c r="O503" s="6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6"/>
      <c r="N504" s="6"/>
      <c r="O504" s="6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6"/>
      <c r="N505" s="6"/>
      <c r="O505" s="6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6"/>
      <c r="N506" s="6"/>
      <c r="O506" s="6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6"/>
      <c r="N507" s="6"/>
      <c r="O507" s="6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6"/>
      <c r="N508" s="6"/>
      <c r="O508" s="6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6"/>
      <c r="N509" s="6"/>
      <c r="O509" s="6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6"/>
      <c r="N510" s="6"/>
      <c r="O510" s="6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6"/>
      <c r="N511" s="6"/>
      <c r="O511" s="6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6"/>
      <c r="N512" s="6"/>
      <c r="O512" s="6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6"/>
      <c r="N513" s="6"/>
      <c r="O513" s="6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6"/>
      <c r="N514" s="6"/>
      <c r="O514" s="6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6"/>
      <c r="N515" s="6"/>
      <c r="O515" s="6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6"/>
      <c r="N516" s="6"/>
      <c r="O516" s="6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6"/>
      <c r="N517" s="6"/>
      <c r="O517" s="6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6"/>
      <c r="N518" s="6"/>
      <c r="O518" s="6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6"/>
      <c r="N519" s="6"/>
      <c r="O519" s="6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6"/>
      <c r="N520" s="6"/>
      <c r="O520" s="6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6"/>
      <c r="N521" s="6"/>
      <c r="O521" s="6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6"/>
      <c r="N522" s="6"/>
      <c r="O522" s="6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6"/>
      <c r="N523" s="6"/>
      <c r="O523" s="6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6"/>
      <c r="N524" s="6"/>
      <c r="O524" s="6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6"/>
      <c r="N525" s="6"/>
      <c r="O525" s="6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6"/>
      <c r="N526" s="6"/>
      <c r="O526" s="6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6"/>
      <c r="N527" s="6"/>
      <c r="O527" s="6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6"/>
      <c r="N528" s="6"/>
      <c r="O528" s="6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6"/>
      <c r="N529" s="6"/>
      <c r="O529" s="6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6"/>
      <c r="N530" s="6"/>
      <c r="O530" s="6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6"/>
      <c r="N531" s="6"/>
      <c r="O531" s="6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6"/>
      <c r="N532" s="6"/>
      <c r="O532" s="6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6"/>
      <c r="N533" s="6"/>
      <c r="O533" s="6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6"/>
      <c r="N534" s="6"/>
      <c r="O534" s="6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6"/>
      <c r="N535" s="6"/>
      <c r="O535" s="6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6"/>
      <c r="N536" s="6"/>
      <c r="O536" s="6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6"/>
      <c r="N537" s="6"/>
      <c r="O537" s="6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6"/>
      <c r="N538" s="6"/>
      <c r="O538" s="6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6"/>
      <c r="N539" s="6"/>
      <c r="O539" s="6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6"/>
      <c r="N540" s="6"/>
      <c r="O540" s="6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6"/>
      <c r="N541" s="6"/>
      <c r="O541" s="6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6"/>
      <c r="N542" s="6"/>
      <c r="O542" s="6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6"/>
      <c r="N543" s="6"/>
      <c r="O543" s="6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6"/>
      <c r="N544" s="6"/>
      <c r="O544" s="6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6"/>
      <c r="N545" s="6"/>
      <c r="O545" s="6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6"/>
      <c r="N546" s="6"/>
      <c r="O546" s="6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6"/>
      <c r="N547" s="6"/>
      <c r="O547" s="6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6"/>
      <c r="N548" s="6"/>
      <c r="O548" s="6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6"/>
      <c r="N549" s="6"/>
      <c r="O549" s="6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6"/>
      <c r="N550" s="6"/>
      <c r="O550" s="6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6"/>
      <c r="N551" s="6"/>
      <c r="O551" s="6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6"/>
      <c r="N552" s="6"/>
      <c r="O552" s="6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6"/>
      <c r="N553" s="6"/>
      <c r="O553" s="6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6"/>
      <c r="N554" s="6"/>
      <c r="O554" s="6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6"/>
      <c r="N555" s="6"/>
      <c r="O555" s="6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6"/>
      <c r="N556" s="6"/>
      <c r="O556" s="6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6"/>
      <c r="N557" s="6"/>
      <c r="O557" s="6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6"/>
      <c r="N558" s="6"/>
      <c r="O558" s="6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6"/>
      <c r="N559" s="6"/>
      <c r="O559" s="6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6"/>
      <c r="N560" s="6"/>
      <c r="O560" s="6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6"/>
      <c r="N561" s="6"/>
      <c r="O561" s="6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6"/>
      <c r="N562" s="6"/>
      <c r="O562" s="6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6"/>
      <c r="N563" s="6"/>
      <c r="O563" s="6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6"/>
      <c r="N564" s="6"/>
      <c r="O564" s="6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6"/>
      <c r="N565" s="6"/>
      <c r="O565" s="6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6"/>
      <c r="N566" s="6"/>
      <c r="O566" s="6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6"/>
      <c r="N567" s="6"/>
      <c r="O567" s="6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6"/>
      <c r="N568" s="6"/>
      <c r="O568" s="6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6"/>
      <c r="N569" s="6"/>
      <c r="O569" s="6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6"/>
      <c r="N570" s="6"/>
      <c r="O570" s="6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6"/>
      <c r="N571" s="6"/>
      <c r="O571" s="6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6"/>
      <c r="N572" s="6"/>
      <c r="O572" s="6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6"/>
      <c r="N573" s="6"/>
      <c r="O573" s="6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6"/>
      <c r="N574" s="6"/>
      <c r="O574" s="6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6"/>
      <c r="N575" s="6"/>
      <c r="O575" s="6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6"/>
      <c r="N576" s="6"/>
      <c r="O576" s="6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6"/>
      <c r="N577" s="6"/>
      <c r="O577" s="6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6"/>
      <c r="N578" s="6"/>
      <c r="O578" s="6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6"/>
      <c r="N579" s="6"/>
      <c r="O579" s="6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6"/>
      <c r="N580" s="6"/>
      <c r="O580" s="6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6"/>
      <c r="N581" s="6"/>
      <c r="O581" s="6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6"/>
      <c r="N582" s="6"/>
      <c r="O582" s="6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6"/>
      <c r="N583" s="6"/>
      <c r="O583" s="6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6"/>
      <c r="N584" s="6"/>
      <c r="O584" s="6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6"/>
      <c r="N585" s="6"/>
      <c r="O585" s="6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6"/>
      <c r="N586" s="6"/>
      <c r="O586" s="6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6"/>
      <c r="N587" s="6"/>
      <c r="O587" s="6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6"/>
      <c r="N588" s="6"/>
      <c r="O588" s="6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6"/>
      <c r="N589" s="6"/>
      <c r="O589" s="6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6"/>
      <c r="N590" s="6"/>
      <c r="O590" s="6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6"/>
      <c r="N591" s="6"/>
      <c r="O591" s="6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6"/>
      <c r="N592" s="6"/>
      <c r="O592" s="6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6"/>
      <c r="N593" s="6"/>
      <c r="O593" s="6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6"/>
      <c r="N594" s="6"/>
      <c r="O594" s="6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6"/>
      <c r="N595" s="6"/>
      <c r="O595" s="6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6"/>
      <c r="N596" s="6"/>
      <c r="O596" s="6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6"/>
      <c r="N597" s="6"/>
      <c r="O597" s="6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6"/>
      <c r="N598" s="6"/>
      <c r="O598" s="6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6"/>
      <c r="N599" s="6"/>
      <c r="O599" s="6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6"/>
      <c r="N600" s="6"/>
      <c r="O600" s="6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6"/>
      <c r="N601" s="6"/>
      <c r="O601" s="6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6"/>
      <c r="N602" s="6"/>
      <c r="O602" s="6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6"/>
      <c r="N603" s="6"/>
      <c r="O603" s="6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6"/>
      <c r="N604" s="6"/>
      <c r="O604" s="6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6"/>
      <c r="N605" s="6"/>
      <c r="O605" s="6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6"/>
      <c r="N606" s="6"/>
      <c r="O606" s="6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6"/>
      <c r="N607" s="6"/>
      <c r="O607" s="6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6"/>
      <c r="N608" s="6"/>
      <c r="O608" s="6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6"/>
      <c r="N609" s="6"/>
      <c r="O609" s="6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6"/>
      <c r="N610" s="6"/>
      <c r="O610" s="6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6"/>
      <c r="N611" s="6"/>
      <c r="O611" s="6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6"/>
      <c r="N612" s="6"/>
      <c r="O612" s="6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6"/>
      <c r="N613" s="6"/>
      <c r="O613" s="6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6"/>
      <c r="N614" s="6"/>
      <c r="O614" s="6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6"/>
      <c r="N615" s="6"/>
      <c r="O615" s="6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6"/>
      <c r="N616" s="6"/>
      <c r="O616" s="6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6"/>
      <c r="N617" s="6"/>
      <c r="O617" s="6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6"/>
      <c r="N618" s="6"/>
      <c r="O618" s="6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6"/>
      <c r="N619" s="6"/>
      <c r="O619" s="6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6"/>
      <c r="N620" s="6"/>
      <c r="O620" s="6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6"/>
      <c r="N621" s="6"/>
      <c r="O621" s="6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6"/>
      <c r="N622" s="6"/>
      <c r="O622" s="6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6"/>
      <c r="N623" s="6"/>
      <c r="O623" s="6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6"/>
      <c r="N624" s="6"/>
      <c r="O624" s="6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6"/>
      <c r="N625" s="6"/>
      <c r="O625" s="6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6"/>
      <c r="N626" s="6"/>
      <c r="O626" s="6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6"/>
      <c r="N627" s="6"/>
      <c r="O627" s="6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6"/>
      <c r="N628" s="6"/>
      <c r="O628" s="6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6"/>
      <c r="N629" s="6"/>
      <c r="O629" s="6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6"/>
      <c r="N630" s="6"/>
      <c r="O630" s="6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6"/>
      <c r="N631" s="6"/>
      <c r="O631" s="6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6"/>
      <c r="N632" s="6"/>
      <c r="O632" s="6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6"/>
      <c r="N633" s="6"/>
      <c r="O633" s="6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6"/>
      <c r="N634" s="6"/>
      <c r="O634" s="6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6"/>
      <c r="N635" s="6"/>
      <c r="O635" s="6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6"/>
      <c r="N636" s="6"/>
      <c r="O636" s="6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6"/>
      <c r="N637" s="6"/>
      <c r="O637" s="6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6"/>
      <c r="N638" s="6"/>
      <c r="O638" s="6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6"/>
      <c r="N639" s="6"/>
      <c r="O639" s="6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6"/>
      <c r="N640" s="6"/>
      <c r="O640" s="6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6"/>
      <c r="N641" s="6"/>
      <c r="O641" s="6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6"/>
      <c r="N642" s="6"/>
      <c r="O642" s="6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6"/>
      <c r="N643" s="6"/>
      <c r="O643" s="6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6"/>
      <c r="N644" s="6"/>
      <c r="O644" s="6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6"/>
      <c r="N645" s="6"/>
      <c r="O645" s="6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6"/>
      <c r="N646" s="6"/>
      <c r="O646" s="6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6"/>
      <c r="N647" s="6"/>
      <c r="O647" s="6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6"/>
      <c r="N648" s="6"/>
      <c r="O648" s="6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6"/>
      <c r="N649" s="6"/>
      <c r="O649" s="6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6"/>
      <c r="N650" s="6"/>
      <c r="O650" s="6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6"/>
      <c r="N651" s="6"/>
      <c r="O651" s="6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6"/>
      <c r="N652" s="6"/>
      <c r="O652" s="6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6"/>
      <c r="N653" s="6"/>
      <c r="O653" s="6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6"/>
      <c r="N654" s="6"/>
      <c r="O654" s="6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6"/>
      <c r="N655" s="6"/>
      <c r="O655" s="6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6"/>
      <c r="N656" s="6"/>
      <c r="O656" s="6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6"/>
      <c r="N657" s="6"/>
      <c r="O657" s="6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6"/>
      <c r="N658" s="6"/>
      <c r="O658" s="6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6"/>
      <c r="N659" s="6"/>
      <c r="O659" s="6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6"/>
      <c r="N660" s="6"/>
      <c r="O660" s="6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6"/>
      <c r="N661" s="6"/>
      <c r="O661" s="6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6"/>
      <c r="N662" s="6"/>
      <c r="O662" s="6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6"/>
      <c r="N663" s="6"/>
      <c r="O663" s="6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6"/>
      <c r="N664" s="6"/>
      <c r="O664" s="6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6"/>
      <c r="N665" s="6"/>
      <c r="O665" s="6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6"/>
      <c r="N666" s="6"/>
      <c r="O666" s="6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6"/>
      <c r="N667" s="6"/>
      <c r="O667" s="6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6"/>
      <c r="N668" s="6"/>
      <c r="O668" s="6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6"/>
      <c r="N669" s="6"/>
      <c r="O669" s="6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6"/>
      <c r="N670" s="6"/>
      <c r="O670" s="6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6"/>
      <c r="N671" s="6"/>
      <c r="O671" s="6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6"/>
      <c r="N672" s="6"/>
      <c r="O672" s="6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6"/>
      <c r="N673" s="6"/>
      <c r="O673" s="6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6"/>
      <c r="N674" s="6"/>
      <c r="O674" s="6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6"/>
      <c r="N675" s="6"/>
      <c r="O675" s="6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6"/>
      <c r="N676" s="6"/>
      <c r="O676" s="6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6"/>
      <c r="N677" s="6"/>
      <c r="O677" s="6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6"/>
      <c r="N678" s="6"/>
      <c r="O678" s="6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6"/>
      <c r="N679" s="6"/>
      <c r="O679" s="6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6"/>
      <c r="N680" s="6"/>
      <c r="O680" s="6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6"/>
      <c r="N681" s="6"/>
      <c r="O681" s="6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6"/>
      <c r="N682" s="6"/>
      <c r="O682" s="6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6"/>
      <c r="N683" s="6"/>
      <c r="O683" s="6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6"/>
      <c r="N684" s="6"/>
      <c r="O684" s="6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6"/>
      <c r="N685" s="6"/>
      <c r="O685" s="6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6"/>
      <c r="N686" s="6"/>
      <c r="O686" s="6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6"/>
      <c r="N687" s="6"/>
      <c r="O687" s="6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6"/>
      <c r="N688" s="6"/>
      <c r="O688" s="6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6"/>
      <c r="N689" s="6"/>
      <c r="O689" s="6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6"/>
      <c r="N690" s="6"/>
      <c r="O690" s="6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6"/>
      <c r="N691" s="6"/>
      <c r="O691" s="6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6"/>
      <c r="N692" s="6"/>
      <c r="O692" s="6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6"/>
      <c r="N693" s="6"/>
      <c r="O693" s="6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6"/>
      <c r="N694" s="6"/>
      <c r="O694" s="6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6"/>
      <c r="N695" s="6"/>
      <c r="O695" s="6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6"/>
      <c r="N696" s="6"/>
      <c r="O696" s="6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6"/>
      <c r="N697" s="6"/>
      <c r="O697" s="6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6"/>
      <c r="N698" s="6"/>
      <c r="O698" s="6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6"/>
      <c r="N699" s="6"/>
      <c r="O699" s="6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6"/>
      <c r="N700" s="6"/>
      <c r="O700" s="6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6"/>
      <c r="N701" s="6"/>
      <c r="O701" s="6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6"/>
      <c r="N702" s="6"/>
      <c r="O702" s="6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6"/>
      <c r="N703" s="6"/>
      <c r="O703" s="6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6"/>
      <c r="N704" s="6"/>
      <c r="O704" s="6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6"/>
      <c r="N705" s="6"/>
      <c r="O705" s="6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6"/>
      <c r="N706" s="6"/>
      <c r="O706" s="6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6"/>
      <c r="N707" s="6"/>
      <c r="O707" s="6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6"/>
      <c r="N708" s="6"/>
      <c r="O708" s="6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6"/>
      <c r="N709" s="6"/>
      <c r="O709" s="6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6"/>
      <c r="N710" s="6"/>
      <c r="O710" s="6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6"/>
      <c r="N711" s="6"/>
      <c r="O711" s="6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6"/>
      <c r="N712" s="6"/>
      <c r="O712" s="6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6"/>
      <c r="N713" s="6"/>
      <c r="O713" s="6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6"/>
      <c r="N714" s="6"/>
      <c r="O714" s="6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6"/>
      <c r="N715" s="6"/>
      <c r="O715" s="6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6"/>
      <c r="N716" s="6"/>
      <c r="O716" s="6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6"/>
      <c r="N717" s="6"/>
      <c r="O717" s="6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6"/>
      <c r="N718" s="6"/>
      <c r="O718" s="6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6"/>
      <c r="N719" s="6"/>
      <c r="O719" s="6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6"/>
      <c r="N720" s="6"/>
      <c r="O720" s="6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6"/>
      <c r="N721" s="6"/>
      <c r="O721" s="6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6"/>
      <c r="N722" s="6"/>
      <c r="O722" s="6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6"/>
      <c r="N723" s="6"/>
      <c r="O723" s="6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6"/>
      <c r="N724" s="6"/>
      <c r="O724" s="6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6"/>
      <c r="N725" s="6"/>
      <c r="O725" s="6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6"/>
      <c r="N726" s="6"/>
      <c r="O726" s="6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6"/>
      <c r="N727" s="6"/>
      <c r="O727" s="6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6"/>
      <c r="N728" s="6"/>
      <c r="O728" s="6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6"/>
      <c r="N729" s="6"/>
      <c r="O729" s="6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6"/>
      <c r="N730" s="6"/>
      <c r="O730" s="6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6"/>
      <c r="N731" s="6"/>
      <c r="O731" s="6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6"/>
      <c r="N732" s="6"/>
      <c r="O732" s="6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6"/>
      <c r="N733" s="6"/>
      <c r="O733" s="6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6"/>
      <c r="N734" s="6"/>
      <c r="O734" s="6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6"/>
      <c r="N735" s="6"/>
      <c r="O735" s="6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6"/>
      <c r="N736" s="6"/>
      <c r="O736" s="6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6"/>
      <c r="N737" s="6"/>
      <c r="O737" s="6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6"/>
      <c r="N738" s="6"/>
      <c r="O738" s="6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6"/>
      <c r="N739" s="6"/>
      <c r="O739" s="6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6"/>
      <c r="N740" s="6"/>
      <c r="O740" s="6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6"/>
      <c r="N741" s="6"/>
      <c r="O741" s="6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6"/>
      <c r="N742" s="6"/>
      <c r="O742" s="6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6"/>
      <c r="N743" s="6"/>
      <c r="O743" s="6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6"/>
      <c r="N744" s="6"/>
      <c r="O744" s="6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6"/>
      <c r="N745" s="6"/>
      <c r="O745" s="6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6"/>
      <c r="N746" s="6"/>
      <c r="O746" s="6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6"/>
      <c r="N747" s="6"/>
      <c r="O747" s="6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6"/>
      <c r="N748" s="6"/>
      <c r="O748" s="6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6"/>
      <c r="N749" s="6"/>
      <c r="O749" s="6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6"/>
      <c r="N750" s="6"/>
      <c r="O750" s="6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6"/>
      <c r="N751" s="6"/>
      <c r="O751" s="6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6"/>
      <c r="N752" s="6"/>
      <c r="O752" s="6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6"/>
      <c r="N753" s="6"/>
      <c r="O753" s="6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6"/>
      <c r="N754" s="6"/>
      <c r="O754" s="6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6"/>
      <c r="N755" s="6"/>
      <c r="O755" s="6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6"/>
      <c r="N756" s="6"/>
      <c r="O756" s="6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6"/>
      <c r="N757" s="6"/>
      <c r="O757" s="6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6"/>
      <c r="N758" s="6"/>
      <c r="O758" s="6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6"/>
      <c r="N759" s="6"/>
      <c r="O759" s="6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6"/>
      <c r="N760" s="6"/>
      <c r="O760" s="6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6"/>
      <c r="N761" s="6"/>
      <c r="O761" s="6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6"/>
      <c r="N762" s="6"/>
      <c r="O762" s="6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6"/>
      <c r="N763" s="6"/>
      <c r="O763" s="6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6"/>
      <c r="N764" s="6"/>
      <c r="O764" s="6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6"/>
      <c r="N765" s="6"/>
      <c r="O765" s="6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6"/>
      <c r="N766" s="6"/>
      <c r="O766" s="6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6"/>
      <c r="N767" s="6"/>
      <c r="O767" s="6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6"/>
      <c r="N768" s="6"/>
      <c r="O768" s="6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6"/>
      <c r="N769" s="6"/>
      <c r="O769" s="6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6"/>
      <c r="N770" s="6"/>
      <c r="O770" s="6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6"/>
      <c r="N771" s="6"/>
      <c r="O771" s="6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6"/>
      <c r="N772" s="6"/>
      <c r="O772" s="6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6"/>
      <c r="N773" s="6"/>
      <c r="O773" s="6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6"/>
      <c r="N774" s="6"/>
      <c r="O774" s="6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6"/>
      <c r="N775" s="6"/>
      <c r="O775" s="6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6"/>
      <c r="N776" s="6"/>
      <c r="O776" s="6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6"/>
      <c r="N777" s="6"/>
      <c r="O777" s="6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6"/>
      <c r="N778" s="6"/>
      <c r="O778" s="6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6"/>
      <c r="N779" s="6"/>
      <c r="O779" s="6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6"/>
      <c r="N780" s="6"/>
      <c r="O780" s="6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6"/>
      <c r="N781" s="6"/>
      <c r="O781" s="6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6"/>
      <c r="N782" s="6"/>
      <c r="O782" s="6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6"/>
      <c r="N783" s="6"/>
      <c r="O783" s="6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6"/>
      <c r="N784" s="6"/>
      <c r="O784" s="6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6"/>
      <c r="N785" s="6"/>
      <c r="O785" s="6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6"/>
      <c r="N786" s="6"/>
      <c r="O786" s="6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6"/>
      <c r="N787" s="6"/>
      <c r="O787" s="6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6"/>
      <c r="N788" s="6"/>
      <c r="O788" s="6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6"/>
      <c r="N789" s="6"/>
      <c r="O789" s="6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6"/>
      <c r="N790" s="6"/>
      <c r="O790" s="6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6"/>
      <c r="N791" s="6"/>
      <c r="O791" s="6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6"/>
      <c r="N792" s="6"/>
      <c r="O792" s="6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6"/>
      <c r="N793" s="6"/>
      <c r="O793" s="6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6"/>
      <c r="N794" s="6"/>
      <c r="O794" s="6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6"/>
      <c r="N795" s="6"/>
      <c r="O795" s="6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6"/>
      <c r="N796" s="6"/>
      <c r="O796" s="6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6"/>
      <c r="N797" s="6"/>
      <c r="O797" s="6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6"/>
      <c r="N798" s="6"/>
      <c r="O798" s="6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6"/>
      <c r="N799" s="6"/>
      <c r="O799" s="6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6"/>
      <c r="N800" s="6"/>
      <c r="O800" s="6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6"/>
      <c r="N801" s="6"/>
      <c r="O801" s="6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6"/>
      <c r="N802" s="6"/>
      <c r="O802" s="6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6"/>
      <c r="N803" s="6"/>
      <c r="O803" s="6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6"/>
      <c r="N804" s="6"/>
      <c r="O804" s="6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6"/>
      <c r="N805" s="6"/>
      <c r="O805" s="6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6"/>
      <c r="N806" s="6"/>
      <c r="O806" s="6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6"/>
      <c r="N807" s="6"/>
      <c r="O807" s="6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6"/>
      <c r="N808" s="6"/>
      <c r="O808" s="6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6"/>
      <c r="N809" s="6"/>
      <c r="O809" s="6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6"/>
      <c r="N810" s="6"/>
      <c r="O810" s="6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6"/>
      <c r="N811" s="6"/>
      <c r="O811" s="6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6"/>
      <c r="N812" s="6"/>
      <c r="O812" s="6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6"/>
      <c r="N813" s="6"/>
      <c r="O813" s="6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6"/>
      <c r="N814" s="6"/>
      <c r="O814" s="6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6"/>
      <c r="N815" s="6"/>
      <c r="O815" s="6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6"/>
      <c r="N816" s="6"/>
      <c r="O816" s="6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6"/>
      <c r="N817" s="6"/>
      <c r="O817" s="6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6"/>
      <c r="N818" s="6"/>
      <c r="O818" s="6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6"/>
      <c r="N819" s="6"/>
      <c r="O819" s="6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6"/>
      <c r="N820" s="6"/>
      <c r="O820" s="6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6"/>
      <c r="N821" s="6"/>
      <c r="O821" s="6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6"/>
      <c r="N822" s="6"/>
      <c r="O822" s="6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6"/>
      <c r="N823" s="6"/>
      <c r="O823" s="6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6"/>
      <c r="N824" s="6"/>
      <c r="O824" s="6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6"/>
      <c r="N825" s="6"/>
      <c r="O825" s="6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6"/>
      <c r="N826" s="6"/>
      <c r="O826" s="6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6"/>
      <c r="N827" s="6"/>
      <c r="O827" s="6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6"/>
      <c r="N828" s="6"/>
      <c r="O828" s="6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6"/>
      <c r="N829" s="6"/>
      <c r="O829" s="6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6"/>
      <c r="N830" s="6"/>
      <c r="O830" s="6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6"/>
      <c r="N831" s="6"/>
      <c r="O831" s="6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6"/>
      <c r="N832" s="6"/>
      <c r="O832" s="6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6"/>
      <c r="N833" s="6"/>
      <c r="O833" s="6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6"/>
      <c r="N834" s="6"/>
      <c r="O834" s="6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6"/>
      <c r="N835" s="6"/>
      <c r="O835" s="6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6"/>
      <c r="N836" s="6"/>
      <c r="O836" s="6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6"/>
      <c r="N837" s="6"/>
      <c r="O837" s="6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6"/>
      <c r="N838" s="6"/>
      <c r="O838" s="6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6"/>
      <c r="N839" s="6"/>
      <c r="O839" s="6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6"/>
      <c r="N840" s="6"/>
      <c r="O840" s="6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6"/>
      <c r="N841" s="6"/>
      <c r="O841" s="6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6"/>
      <c r="N842" s="6"/>
      <c r="O842" s="6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6"/>
      <c r="N843" s="6"/>
      <c r="O843" s="6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6"/>
      <c r="N844" s="6"/>
      <c r="O844" s="6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6"/>
      <c r="N845" s="6"/>
      <c r="O845" s="6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6"/>
      <c r="N846" s="6"/>
      <c r="O846" s="6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6"/>
      <c r="N847" s="6"/>
      <c r="O847" s="6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6"/>
      <c r="N848" s="6"/>
      <c r="O848" s="6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6"/>
      <c r="N849" s="6"/>
      <c r="O849" s="6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6"/>
      <c r="N850" s="6"/>
      <c r="O850" s="6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6"/>
      <c r="N851" s="6"/>
      <c r="O851" s="6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6"/>
      <c r="N852" s="6"/>
      <c r="O852" s="6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6"/>
      <c r="N853" s="6"/>
      <c r="O853" s="6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6"/>
      <c r="N854" s="6"/>
      <c r="O854" s="6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6"/>
      <c r="N855" s="6"/>
      <c r="O855" s="6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6"/>
      <c r="N856" s="6"/>
      <c r="O856" s="6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6"/>
      <c r="N857" s="6"/>
      <c r="O857" s="6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6"/>
      <c r="N858" s="6"/>
      <c r="O858" s="6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6"/>
      <c r="N859" s="6"/>
      <c r="O859" s="6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6"/>
      <c r="N860" s="6"/>
      <c r="O860" s="6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6"/>
      <c r="N861" s="6"/>
      <c r="O861" s="6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6"/>
      <c r="N862" s="6"/>
      <c r="O862" s="6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6"/>
      <c r="N863" s="6"/>
      <c r="O863" s="6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6"/>
      <c r="N864" s="6"/>
      <c r="O864" s="6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6"/>
      <c r="N865" s="6"/>
      <c r="O865" s="6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6"/>
      <c r="N866" s="6"/>
      <c r="O866" s="6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6"/>
      <c r="N867" s="6"/>
      <c r="O867" s="6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6"/>
      <c r="N868" s="6"/>
      <c r="O868" s="6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6"/>
      <c r="N869" s="6"/>
      <c r="O869" s="6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6"/>
      <c r="N870" s="6"/>
      <c r="O870" s="6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6"/>
      <c r="N871" s="6"/>
      <c r="O871" s="6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6"/>
      <c r="N872" s="6"/>
      <c r="O872" s="6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6"/>
      <c r="N873" s="6"/>
      <c r="O873" s="6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6"/>
      <c r="N874" s="6"/>
      <c r="O874" s="6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6"/>
      <c r="N875" s="6"/>
      <c r="O875" s="6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6"/>
      <c r="N876" s="6"/>
      <c r="O876" s="6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6"/>
      <c r="N877" s="6"/>
      <c r="O877" s="6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6"/>
      <c r="N878" s="6"/>
      <c r="O878" s="6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6"/>
      <c r="N879" s="6"/>
      <c r="O879" s="6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6"/>
      <c r="N880" s="6"/>
      <c r="O880" s="6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6"/>
      <c r="N881" s="6"/>
      <c r="O881" s="6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6"/>
      <c r="N882" s="6"/>
      <c r="O882" s="6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6"/>
      <c r="N883" s="6"/>
      <c r="O883" s="6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6"/>
      <c r="N884" s="6"/>
      <c r="O884" s="6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6"/>
      <c r="N885" s="6"/>
      <c r="O885" s="6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6"/>
      <c r="N886" s="6"/>
      <c r="O886" s="6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6"/>
      <c r="N887" s="6"/>
      <c r="O887" s="6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6"/>
      <c r="N888" s="6"/>
      <c r="O888" s="6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6"/>
      <c r="N889" s="6"/>
      <c r="O889" s="6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6"/>
      <c r="N890" s="6"/>
      <c r="O890" s="6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6"/>
      <c r="N891" s="6"/>
      <c r="O891" s="6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6"/>
      <c r="N892" s="6"/>
      <c r="O892" s="6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6"/>
      <c r="N893" s="6"/>
      <c r="O893" s="6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6"/>
      <c r="N894" s="6"/>
      <c r="O894" s="6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6"/>
      <c r="N895" s="6"/>
      <c r="O895" s="6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6"/>
      <c r="N896" s="6"/>
      <c r="O896" s="6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6"/>
      <c r="N897" s="6"/>
      <c r="O897" s="6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6"/>
      <c r="N898" s="6"/>
      <c r="O898" s="6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6"/>
      <c r="N899" s="6"/>
      <c r="O899" s="6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6"/>
      <c r="N900" s="6"/>
      <c r="O900" s="6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6"/>
      <c r="N901" s="6"/>
      <c r="O901" s="6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6"/>
      <c r="N902" s="6"/>
      <c r="O902" s="6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6"/>
      <c r="N903" s="6"/>
      <c r="O903" s="6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6"/>
      <c r="N904" s="6"/>
      <c r="O904" s="6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6"/>
      <c r="N905" s="6"/>
      <c r="O905" s="6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6"/>
      <c r="N906" s="6"/>
      <c r="O906" s="6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6"/>
      <c r="N907" s="6"/>
      <c r="O907" s="6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6"/>
      <c r="N908" s="6"/>
      <c r="O908" s="6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6"/>
      <c r="N909" s="6"/>
      <c r="O909" s="6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6"/>
      <c r="N910" s="6"/>
      <c r="O910" s="6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6"/>
      <c r="N911" s="6"/>
      <c r="O911" s="6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6"/>
      <c r="N912" s="6"/>
      <c r="O912" s="6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6"/>
      <c r="N913" s="6"/>
      <c r="O913" s="6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6"/>
      <c r="N914" s="6"/>
      <c r="O914" s="6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6"/>
      <c r="N915" s="6"/>
      <c r="O915" s="6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6"/>
      <c r="N916" s="6"/>
      <c r="O916" s="6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6"/>
      <c r="N917" s="6"/>
      <c r="O917" s="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6"/>
      <c r="N918" s="6"/>
      <c r="O918" s="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6"/>
      <c r="N919" s="6"/>
      <c r="O919" s="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6"/>
      <c r="N920" s="6"/>
      <c r="O920" s="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6"/>
      <c r="N921" s="6"/>
      <c r="O921" s="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6"/>
      <c r="N922" s="6"/>
      <c r="O922" s="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6"/>
      <c r="N923" s="6"/>
      <c r="O923" s="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6"/>
      <c r="N924" s="6"/>
      <c r="O924" s="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6"/>
      <c r="N925" s="6"/>
      <c r="O925" s="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6"/>
      <c r="N926" s="6"/>
      <c r="O926" s="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6"/>
      <c r="N927" s="6"/>
      <c r="O927" s="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6"/>
      <c r="N928" s="6"/>
      <c r="O928" s="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6"/>
      <c r="N929" s="6"/>
      <c r="O929" s="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6"/>
      <c r="N930" s="6"/>
      <c r="O930" s="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6"/>
      <c r="N931" s="6"/>
      <c r="O931" s="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6"/>
      <c r="N932" s="6"/>
      <c r="O932" s="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6"/>
      <c r="N933" s="6"/>
      <c r="O933" s="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6"/>
      <c r="N934" s="6"/>
      <c r="O934" s="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6"/>
      <c r="N935" s="6"/>
      <c r="O935" s="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6"/>
      <c r="N936" s="6"/>
      <c r="O936" s="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6"/>
      <c r="N937" s="6"/>
      <c r="O937" s="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6"/>
      <c r="N938" s="6"/>
      <c r="O938" s="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6"/>
      <c r="N939" s="6"/>
      <c r="O939" s="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6"/>
      <c r="N940" s="6"/>
      <c r="O940" s="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6"/>
      <c r="N941" s="6"/>
      <c r="O941" s="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6"/>
      <c r="N942" s="6"/>
      <c r="O942" s="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6"/>
      <c r="N943" s="6"/>
      <c r="O943" s="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6"/>
      <c r="N944" s="6"/>
      <c r="O944" s="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6"/>
      <c r="N945" s="6"/>
      <c r="O945" s="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6"/>
      <c r="N946" s="6"/>
      <c r="O946" s="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6"/>
      <c r="N947" s="6"/>
      <c r="O947" s="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6"/>
      <c r="N948" s="6"/>
      <c r="O948" s="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6"/>
      <c r="N949" s="6"/>
      <c r="O949" s="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6"/>
      <c r="N950" s="6"/>
      <c r="O950" s="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6"/>
      <c r="N951" s="6"/>
      <c r="O951" s="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6"/>
      <c r="N952" s="6"/>
      <c r="O952" s="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6"/>
      <c r="N953" s="6"/>
      <c r="O953" s="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6"/>
      <c r="N954" s="6"/>
      <c r="O954" s="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6"/>
      <c r="N955" s="6"/>
      <c r="O955" s="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6"/>
      <c r="N956" s="6"/>
      <c r="O956" s="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6"/>
      <c r="N957" s="6"/>
      <c r="O957" s="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6"/>
      <c r="N958" s="6"/>
      <c r="O958" s="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6"/>
      <c r="N959" s="6"/>
      <c r="O959" s="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6"/>
      <c r="N960" s="6"/>
      <c r="O960" s="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6"/>
      <c r="N961" s="6"/>
      <c r="O961" s="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6"/>
      <c r="N962" s="6"/>
      <c r="O962" s="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6"/>
      <c r="N963" s="6"/>
      <c r="O963" s="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6"/>
      <c r="N964" s="6"/>
      <c r="O964" s="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6"/>
      <c r="N965" s="6"/>
      <c r="O965" s="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6"/>
      <c r="N966" s="6"/>
      <c r="O966" s="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6"/>
      <c r="N967" s="6"/>
      <c r="O967" s="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6"/>
      <c r="N968" s="6"/>
      <c r="O968" s="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6"/>
      <c r="N969" s="6"/>
      <c r="O969" s="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6"/>
      <c r="N970" s="6"/>
      <c r="O970" s="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6"/>
      <c r="N971" s="6"/>
      <c r="O971" s="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6"/>
      <c r="N972" s="6"/>
      <c r="O972" s="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6"/>
      <c r="N973" s="6"/>
      <c r="O973" s="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6"/>
      <c r="N974" s="6"/>
      <c r="O974" s="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6"/>
      <c r="N975" s="6"/>
      <c r="O975" s="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6"/>
      <c r="N976" s="6"/>
      <c r="O976" s="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6"/>
      <c r="N977" s="6"/>
      <c r="O977" s="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6"/>
      <c r="N978" s="6"/>
      <c r="O978" s="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6"/>
      <c r="N979" s="6"/>
      <c r="O979" s="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6"/>
      <c r="N980" s="6"/>
      <c r="O980" s="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6"/>
      <c r="N981" s="6"/>
      <c r="O981" s="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6"/>
      <c r="N982" s="6"/>
      <c r="O982" s="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6"/>
      <c r="N983" s="6"/>
      <c r="O983" s="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6"/>
      <c r="N984" s="6"/>
      <c r="O984" s="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6"/>
      <c r="N985" s="6"/>
      <c r="O985" s="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6"/>
      <c r="N986" s="6"/>
      <c r="O986" s="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6"/>
      <c r="N987" s="6"/>
      <c r="O987" s="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6"/>
      <c r="N988" s="6"/>
      <c r="O988" s="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6"/>
      <c r="N989" s="6"/>
      <c r="O989" s="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6"/>
      <c r="N990" s="6"/>
      <c r="O990" s="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6"/>
      <c r="N991" s="6"/>
      <c r="O991" s="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6"/>
      <c r="N992" s="6"/>
      <c r="O992" s="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6"/>
      <c r="N993" s="6"/>
      <c r="O993" s="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6"/>
      <c r="N994" s="6"/>
      <c r="O994" s="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6"/>
      <c r="N995" s="6"/>
      <c r="O995" s="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6"/>
      <c r="N996" s="6"/>
      <c r="O996" s="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6"/>
      <c r="N997" s="6"/>
      <c r="O997" s="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6"/>
      <c r="N998" s="6"/>
      <c r="O998" s="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6"/>
      <c r="N999" s="6"/>
      <c r="O999" s="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6"/>
      <c r="N1000" s="6"/>
      <c r="O1000" s="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customFormat="false" ht="15.75" hidden="false" customHeight="tru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6"/>
      <c r="N1001" s="6"/>
      <c r="O1001" s="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customFormat="false" ht="15.75" hidden="false" customHeight="tru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6"/>
      <c r="N1002" s="6"/>
      <c r="O1002" s="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customFormat="false" ht="15.75" hidden="false" customHeight="tru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6"/>
      <c r="N1003" s="6"/>
      <c r="O1003" s="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customFormat="false" ht="15.75" hidden="false" customHeight="tru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6"/>
      <c r="N1004" s="6"/>
      <c r="O1004" s="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</sheetData>
  <hyperlinks>
    <hyperlink ref="M2" r:id="rId2" display="https://www.digikey.si/en/products/detail/te-connectivity-alcoswitch-switches/1825910-7/1731414"/>
    <hyperlink ref="O2" r:id="rId3" display="http://mm.digikey.com/Volume0/opasdata/d220001/medias/images/609/1825910-7.JPG"/>
    <hyperlink ref="M3" r:id="rId4" display="https://www.digikey.si/en/products/detail/tdk/FG18X7R1H472KNT06/5802888?s=N4IgTCBcDaIGIHECMAOAGgdgEpIBIBYMwBpAOQBUAGANhAF0BfIA"/>
    <hyperlink ref="O3" r:id="rId5" display="https://mm.digikey.com/Volume0/opasdata/d220001/medias/images/1206/FG18_Type.jpg"/>
    <hyperlink ref="M4" r:id="rId6" display="https://www.digikey.si/en/products/detail/stackpole-electronics-inc/CFM14JT10R0/1742055?s=N4IgTCBcDaIMIDECyBGALAKQCooAwCVcQBdAXyA"/>
    <hyperlink ref="O4" r:id="rId7" display="http://mm.digikey.com/Volume0/opasdata/d220001/medias/images/2453/CFMSeries 10.jpg"/>
    <hyperlink ref="M5" r:id="rId8" display="https://www.digikey.si/en/products/detail/stackpole-electronics-inc/CFM14JT3K90/1742176?s=N4IgTCBcDaIMIDECyBGALAKQCoGYDSAnAAwgC6AvkA"/>
    <hyperlink ref="O5" r:id="rId9" display="http://mm.digikey.com/Volume0/opasdata/d220001/medias/images/2385/CFMSeries 3-9k.jpg"/>
    <hyperlink ref="M6" r:id="rId10" display="https://www.digikey.si/en/products/detail/stackpole-electronics-inc/CF14JT1M00/1741316"/>
    <hyperlink ref="M7" r:id="rId11" display="https://www.digikey.si/en/products/detail/same-sky-formerly-cui-devices/SJ1-3525NG-GR/2295990?s=N4IgTCBcDaIMoCkCMBaAzAVjBgcgcRTwCUQBdAXyA"/>
    <hyperlink ref="O7" r:id="rId12" display="https://mm.digikey.com/Volume0/opasdata/d220001/medias/images/378/MFG_SJ1-3525NG-GR.jpg"/>
    <hyperlink ref="M8" r:id="rId13" display="https://www.digikey.si/en/products/detail/murata-power-solutions-inc/CME0303S3C/4693717?s=N4IgTCBcDaIMIFkCiAGAzOgymuIC6AvkA"/>
    <hyperlink ref="O8" r:id="rId14" display="https://mm.digikey.com/Volume0/opasdata/d220001/medias/images/2699/MFG_cmes3c.jpg"/>
    <hyperlink ref="O9" r:id="rId15" display="http://mm.digikey.com/Volume0/opasdata/d220001/medias/images/2232/MFG_3405.jpg"/>
    <hyperlink ref="O10" r:id="rId16" display="http://mm.digikey.com/Volume0/opasdata/d220001/medias/images/4848/MFG_1528_2011.jpg"/>
    <hyperlink ref="N11" r:id="rId17" display="https://tienda.bricogeek.com/baterias-lipo/1312-bateria-lipo-1000mah-37v-102050.html"/>
    <hyperlink ref="O11" r:id="rId18" display="https://tienda.bricogeek.com/7514-large_default/bateria-lipo-1000mah-37v-102050.jpg"/>
    <hyperlink ref="M12" r:id="rId19" display="https://www.digikey.si/en/products/detail/texas-instruments/LMC555CN-NOPB/32623?s=N4IgTCBcDaIDIFkDCBWNSByB6DB5ACgEIgC6AvkA"/>
    <hyperlink ref="O12" r:id="rId20" display="https://mm.digikey.com/Volume0/opasdata/d220001/medias/images/376/8-DIP.jpg"/>
    <hyperlink ref="M13" r:id="rId21" display="https://www.digikey.si/en/products/detail/same-sky-formerly-cui-devices/SJ1-3525NG/738690"/>
    <hyperlink ref="O13" r:id="rId22" display="https://mm.digikey.com/Volume0/opasdata/d220001/medias/images/1172/SJ1-3525NG.jpg"/>
    <hyperlink ref="M14" r:id="rId23" display="https://www.digikey.si/en/products/detail/te-connectivity-alcoswitch-switches/1825232-1/4021554?s=N4IgTCBcDaIIwA4wFYwGYwFo4gLoF8g"/>
    <hyperlink ref="O14" r:id="rId24" display="http://mm.digikey.com/Volume0/opasdata/d220001/medias/images/665/1825232-1.JPG"/>
    <hyperlink ref="M15" r:id="rId25" display="https://www.digikey.si/en/products/detail/liteon/LTV-816/385830"/>
    <hyperlink ref="O15" r:id="rId26" display="https://mm.digikey.com/Volume0/opasdata/d220001/medias/images/371/ZJY51R5-2PB-01.jpg"/>
    <hyperlink ref="M16" r:id="rId27" display="https://www.digikey.si/en/products/detail/bourns-inc/PTV09A-4015U-B103/3781118?s=N4IgTCBcDaIAoBUBqAGAnAQQLQBYUEYBWAVSwCF8UBmEAXQF8g"/>
    <hyperlink ref="O16" r:id="rId28" display="http://mm.digikey.com/Volume0/opasdata/d220001/medias/images/13/PTV09A-4015U-B103.JPG"/>
    <hyperlink ref="O17" r:id="rId29" display="http://mm.digikey.com/Volume0/opasdata/d220001/medias/images/833/FIT0096.jpg"/>
    <hyperlink ref="M18" r:id="rId30" display="https://www.digikey.si/en/products/detail/inolux/INL-3AY30/7604622?s=N4IgTCBcDaIJIDkAyBaAzAQQJpoAwgF0BfIA"/>
    <hyperlink ref="O18" r:id="rId31" display="https://mm.digikey.com/Volume0/opasdata/d220001/medias/images/729/INL-3AB30.JPG"/>
    <hyperlink ref="M19" r:id="rId32" display="https://www.digikey.si/en/products/detail/inolux/INL-3AR30/7604620?s=N4IgTCBcDaIJIDkAyBaAzAQQEpoAwgF0BfIA"/>
    <hyperlink ref="O19" r:id="rId33" display="https://mm.digikey.com/Volume0/opasdata/d220001/medias/images/729/INL-3AB30.JPG"/>
    <hyperlink ref="M20" r:id="rId34" display="https://www.digikey.si/en/products/detail/inolux/INL-3AW30/7604621?s=N4IgTCBcDaIJIDkAyBaAzAQQOpoAwgF0BfIA"/>
    <hyperlink ref="O20" r:id="rId35" display="https://mm.digikey.com/Volume0/opasdata/d220001/medias/images/729/INL-3AB30.JPG"/>
    <hyperlink ref="M21" r:id="rId36" display="https://www.digikey.si/en/products/detail/inolux/INL-3AB30/7604618?s=N4IgTCBcDaIJIDkAyBaAzAQQEJoAwgF0BfIA"/>
    <hyperlink ref="O21" r:id="rId37" display="https://mm.digikey.com/Volume0/opasdata/d220001/medias/images/729/INL-3AB30.JPG"/>
    <hyperlink ref="M22" r:id="rId38" display="https://www.digikey.si/en/products/detail/inolux/INL-3AYG30/7604623?s=N4IgTCBcDaIJIDkAyBaAzAQQJoHE0AYQBdAXyA"/>
    <hyperlink ref="O22" r:id="rId39" display="https://mm.digikey.com/Volume0/opasdata/d220001/medias/images/729/INL-3AB30.JPG"/>
    <hyperlink ref="M23" r:id="rId40" display="https://www.digikey.si/en/products/detail/adafruit-industries-llc/5323/16376065"/>
    <hyperlink ref="O23" r:id="rId41" display="https://mm.digikey.com/Volume0/opasdata/d220001/medias/images/4845/MFG_1528_5323.jpg"/>
    <hyperlink ref="M24" r:id="rId42" display="https://www.digikey.si/en/products/detail/te-connectivity-amp-connectors/1-2199298-2/5022039?s=N4IgTCBcDaIIwFoxwJwrCgHEkBdAvkA"/>
    <hyperlink ref="O24" r:id="rId43" display="https://mm.digikey.com/Volume0/opasdata/d220001/medias/images/803/1-2199298-2.JPG "/>
    <hyperlink ref="O25" r:id="rId44" display="https://mm.digikey.com/Volume0/opasdata/d220001/medias/images/14/MFG_HDR100IMP40F-G-V-TH.jpg"/>
    <hyperlink ref="M26" r:id="rId45" display="https://www.digikey.si/en/products/detail/tensility-international-corp/10-00344/2350247"/>
    <hyperlink ref="M27" r:id="rId46" display="https://www.digikey.si/en/products/detail/mueller-electric-co/BU-34/30458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21.85"/>
    <col collapsed="false" customWidth="true" hidden="false" outlineLevel="0" max="3" min="3" style="0" width="30.71"/>
    <col collapsed="false" customWidth="true" hidden="false" outlineLevel="0" max="4" min="4" style="0" width="30.43"/>
    <col collapsed="false" customWidth="true" hidden="false" outlineLevel="0" max="5" min="5" style="0" width="15.14"/>
    <col collapsed="false" customWidth="true" hidden="false" outlineLevel="0" max="6" min="6" style="0" width="17.43"/>
    <col collapsed="false" customWidth="true" hidden="false" outlineLevel="0" max="7" min="7" style="0" width="13"/>
    <col collapsed="false" customWidth="true" hidden="false" outlineLevel="0" max="8" min="8" style="0" width="10.85"/>
    <col collapsed="false" customWidth="true" hidden="false" outlineLevel="0" max="9" min="9" style="0" width="22.15"/>
    <col collapsed="false" customWidth="true" hidden="false" outlineLevel="0" max="10" min="10" style="0" width="10"/>
    <col collapsed="false" customWidth="true" hidden="false" outlineLevel="0" max="11" min="11" style="0" width="13.71"/>
    <col collapsed="false" customWidth="true" hidden="false" outlineLevel="0" max="12" min="12" style="0" width="22"/>
    <col collapsed="false" customWidth="true" hidden="false" outlineLevel="0" max="13" min="13" style="0" width="79.86"/>
    <col collapsed="false" customWidth="true" hidden="false" outlineLevel="0" max="26" min="14" style="0" width="8.86"/>
  </cols>
  <sheetData>
    <row r="1" customFormat="false" ht="23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174</v>
      </c>
      <c r="F1" s="2" t="s">
        <v>175</v>
      </c>
      <c r="G1" s="2" t="s">
        <v>176</v>
      </c>
      <c r="H1" s="2"/>
      <c r="I1" s="2"/>
      <c r="J1" s="2"/>
      <c r="K1" s="2"/>
      <c r="L1" s="2"/>
      <c r="M1" s="2"/>
      <c r="N1" s="2" t="s">
        <v>15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3.85" hidden="false" customHeight="false" outlineLevel="0" collapsed="false">
      <c r="A2" s="2" t="n">
        <v>1</v>
      </c>
      <c r="B2" s="2" t="s">
        <v>16</v>
      </c>
      <c r="C2" s="2" t="s">
        <v>17</v>
      </c>
      <c r="D2" s="19" t="s">
        <v>18</v>
      </c>
      <c r="E2" s="2" t="n">
        <v>4</v>
      </c>
      <c r="F2" s="2" t="n">
        <v>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 t="n">
        <v>2</v>
      </c>
      <c r="B3" s="2" t="s">
        <v>25</v>
      </c>
      <c r="C3" s="2" t="s">
        <v>26</v>
      </c>
      <c r="D3" s="19" t="s">
        <v>27</v>
      </c>
      <c r="E3" s="2" t="n">
        <v>4</v>
      </c>
      <c r="F3" s="2" t="n">
        <v>2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2" t="n">
        <v>3</v>
      </c>
      <c r="B4" s="2" t="s">
        <v>33</v>
      </c>
      <c r="C4" s="2" t="s">
        <v>34</v>
      </c>
      <c r="D4" s="19" t="s">
        <v>35</v>
      </c>
      <c r="E4" s="2"/>
      <c r="F4" s="2" t="n">
        <v>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34</v>
      </c>
      <c r="D5" s="19" t="s">
        <v>41</v>
      </c>
      <c r="E5" s="2"/>
      <c r="F5" s="2" t="n">
        <v>14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2" t="n">
        <v>5</v>
      </c>
      <c r="B6" s="2" t="s">
        <v>50</v>
      </c>
      <c r="C6" s="2" t="s">
        <v>51</v>
      </c>
      <c r="D6" s="19" t="s">
        <v>52</v>
      </c>
      <c r="E6" s="2"/>
      <c r="F6" s="2" t="n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2" t="n">
        <v>6</v>
      </c>
      <c r="B7" s="2" t="s">
        <v>58</v>
      </c>
      <c r="C7" s="2" t="s">
        <v>59</v>
      </c>
      <c r="D7" s="20" t="s">
        <v>60</v>
      </c>
      <c r="E7" s="2"/>
      <c r="F7" s="2" t="n">
        <v>1</v>
      </c>
      <c r="G7" s="2" t="s">
        <v>177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23.85" hidden="false" customHeight="false" outlineLevel="0" collapsed="false">
      <c r="A8" s="2" t="n">
        <v>7</v>
      </c>
      <c r="B8" s="2" t="s">
        <v>66</v>
      </c>
      <c r="C8" s="2" t="s">
        <v>67</v>
      </c>
      <c r="D8" s="20" t="s">
        <v>68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2" t="n">
        <v>8</v>
      </c>
      <c r="B9" s="2" t="s">
        <v>73</v>
      </c>
      <c r="C9" s="2" t="s">
        <v>67</v>
      </c>
      <c r="D9" s="20" t="s">
        <v>74</v>
      </c>
      <c r="E9" s="2"/>
      <c r="F9" s="2" t="n">
        <v>2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23.85" hidden="false" customHeight="false" outlineLevel="0" collapsed="false">
      <c r="A10" s="2" t="n">
        <v>9</v>
      </c>
      <c r="B10" s="2" t="s">
        <v>83</v>
      </c>
      <c r="C10" s="2" t="s">
        <v>84</v>
      </c>
      <c r="D10" s="19" t="s">
        <v>178</v>
      </c>
      <c r="E10" s="2"/>
      <c r="F10" s="2" t="n">
        <v>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2" t="n">
        <v>10</v>
      </c>
      <c r="B11" s="2" t="s">
        <v>90</v>
      </c>
      <c r="C11" s="2" t="s">
        <v>51</v>
      </c>
      <c r="D11" s="19" t="s">
        <v>52</v>
      </c>
      <c r="E11" s="2"/>
      <c r="F11" s="2" t="n">
        <v>2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23.85" hidden="false" customHeight="false" outlineLevel="0" collapsed="false">
      <c r="A12" s="2" t="n">
        <v>11</v>
      </c>
      <c r="B12" s="2" t="s">
        <v>95</v>
      </c>
      <c r="C12" s="2" t="s">
        <v>17</v>
      </c>
      <c r="D12" s="19" t="s">
        <v>96</v>
      </c>
      <c r="E12" s="2"/>
      <c r="F12" s="2" t="n">
        <v>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23.85" hidden="false" customHeight="false" outlineLevel="0" collapsed="false">
      <c r="A13" s="2" t="n">
        <v>12</v>
      </c>
      <c r="B13" s="2" t="s">
        <v>101</v>
      </c>
      <c r="C13" s="2" t="s">
        <v>102</v>
      </c>
      <c r="D13" s="19" t="s">
        <v>103</v>
      </c>
      <c r="E13" s="2"/>
      <c r="F13" s="2" t="n">
        <v>2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23.85" hidden="false" customHeight="false" outlineLevel="0" collapsed="false">
      <c r="A14" s="2" t="n">
        <v>13</v>
      </c>
      <c r="B14" s="2" t="s">
        <v>108</v>
      </c>
      <c r="C14" s="2" t="s">
        <v>109</v>
      </c>
      <c r="D14" s="19" t="s">
        <v>110</v>
      </c>
      <c r="E14" s="2"/>
      <c r="F14" s="2" t="n">
        <v>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false" outlineLevel="0" collapsed="false">
      <c r="A15" s="2"/>
      <c r="B15" s="2"/>
      <c r="C15" s="2"/>
      <c r="D15" s="21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false" outlineLevel="0" collapsed="false">
      <c r="A16" s="2" t="n">
        <v>15</v>
      </c>
      <c r="B16" s="2" t="s">
        <v>122</v>
      </c>
      <c r="C16" s="2" t="s">
        <v>123</v>
      </c>
      <c r="D16" s="19" t="s">
        <v>124</v>
      </c>
      <c r="E16" s="2"/>
      <c r="F16" s="2" t="n">
        <v>2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2" t="n">
        <v>16</v>
      </c>
      <c r="B17" s="2" t="s">
        <v>130</v>
      </c>
      <c r="C17" s="2" t="s">
        <v>123</v>
      </c>
      <c r="D17" s="19" t="s">
        <v>131</v>
      </c>
      <c r="E17" s="2"/>
      <c r="F17" s="2" t="n">
        <v>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false" outlineLevel="0" collapsed="false">
      <c r="A18" s="2" t="n">
        <v>17</v>
      </c>
      <c r="B18" s="2" t="s">
        <v>135</v>
      </c>
      <c r="C18" s="2" t="s">
        <v>123</v>
      </c>
      <c r="D18" s="19" t="s">
        <v>136</v>
      </c>
      <c r="E18" s="2"/>
      <c r="F18" s="2" t="n">
        <v>2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false" outlineLevel="0" collapsed="false">
      <c r="A19" s="2" t="n">
        <v>18</v>
      </c>
      <c r="B19" s="2" t="s">
        <v>140</v>
      </c>
      <c r="C19" s="2" t="s">
        <v>123</v>
      </c>
      <c r="D19" s="19" t="s">
        <v>141</v>
      </c>
      <c r="E19" s="2"/>
      <c r="F19" s="2" t="n">
        <v>2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false" outlineLevel="0" collapsed="false">
      <c r="A20" s="2" t="n">
        <v>19</v>
      </c>
      <c r="B20" s="2" t="s">
        <v>145</v>
      </c>
      <c r="C20" s="2" t="s">
        <v>123</v>
      </c>
      <c r="D20" s="2" t="s">
        <v>146</v>
      </c>
      <c r="E20" s="2"/>
      <c r="F20" s="2" t="n">
        <v>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2" t="n">
        <v>20</v>
      </c>
      <c r="B21" s="2" t="s">
        <v>149</v>
      </c>
      <c r="C21" s="2" t="s">
        <v>67</v>
      </c>
      <c r="D21" s="19" t="s">
        <v>150</v>
      </c>
      <c r="E21" s="2"/>
      <c r="F21" s="2" t="n">
        <v>1</v>
      </c>
      <c r="G21" s="2" t="s">
        <v>179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2" t="n">
        <v>21</v>
      </c>
      <c r="B22" s="2" t="s">
        <v>155</v>
      </c>
      <c r="C22" s="2" t="s">
        <v>156</v>
      </c>
      <c r="D22" s="19" t="s">
        <v>157</v>
      </c>
      <c r="E22" s="2"/>
      <c r="F22" s="2" t="s">
        <v>180</v>
      </c>
      <c r="G22" s="2"/>
      <c r="H22" s="2"/>
      <c r="I22" s="2"/>
      <c r="J22" s="15"/>
      <c r="K22" s="22"/>
      <c r="L22" s="2"/>
      <c r="M22" s="23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2" t="n">
        <v>22</v>
      </c>
      <c r="B23" s="2" t="s">
        <v>161</v>
      </c>
      <c r="C23" s="2" t="s">
        <v>162</v>
      </c>
      <c r="D23" s="19" t="s">
        <v>163</v>
      </c>
      <c r="E23" s="2"/>
      <c r="F23" s="2" t="n">
        <v>40</v>
      </c>
      <c r="G23" s="2"/>
      <c r="H23" s="2"/>
      <c r="I23" s="2"/>
      <c r="J23" s="22"/>
      <c r="K23" s="22"/>
      <c r="L23" s="2"/>
      <c r="M23" s="23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.7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21.85"/>
    <col collapsed="false" customWidth="true" hidden="false" outlineLevel="0" max="3" min="3" style="0" width="30.71"/>
    <col collapsed="false" customWidth="true" hidden="false" outlineLevel="0" max="4" min="4" style="0" width="30.43"/>
    <col collapsed="false" customWidth="true" hidden="false" outlineLevel="0" max="5" min="5" style="0" width="17.86"/>
    <col collapsed="false" customWidth="true" hidden="false" outlineLevel="0" max="6" min="6" style="0" width="22.15"/>
    <col collapsed="false" customWidth="true" hidden="false" outlineLevel="0" max="7" min="7" style="0" width="10"/>
    <col collapsed="false" customWidth="true" hidden="false" outlineLevel="0" max="8" min="8" style="0" width="13.71"/>
    <col collapsed="false" customWidth="true" hidden="false" outlineLevel="0" max="9" min="9" style="0" width="22"/>
    <col collapsed="false" customWidth="true" hidden="false" outlineLevel="0" max="10" min="10" style="0" width="79.86"/>
    <col collapsed="false" customWidth="true" hidden="false" outlineLevel="0" max="23" min="11" style="0" width="8.86"/>
  </cols>
  <sheetData>
    <row r="1" customFormat="false" ht="23.8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181</v>
      </c>
      <c r="F1" s="2"/>
      <c r="G1" s="2"/>
      <c r="H1" s="2"/>
      <c r="I1" s="2"/>
      <c r="J1" s="2"/>
      <c r="K1" s="2" t="s">
        <v>15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23.85" hidden="false" customHeight="false" outlineLevel="0" collapsed="false">
      <c r="A2" s="2" t="n">
        <v>1</v>
      </c>
      <c r="B2" s="2" t="s">
        <v>16</v>
      </c>
      <c r="C2" s="2" t="s">
        <v>17</v>
      </c>
      <c r="D2" s="19" t="s">
        <v>18</v>
      </c>
      <c r="E2" s="2" t="s">
        <v>182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15" hidden="false" customHeight="false" outlineLevel="0" collapsed="false">
      <c r="A3" s="2" t="n">
        <v>2</v>
      </c>
      <c r="B3" s="2" t="s">
        <v>25</v>
      </c>
      <c r="C3" s="2" t="s">
        <v>26</v>
      </c>
      <c r="D3" s="19" t="s">
        <v>27</v>
      </c>
      <c r="E3" s="2" t="s">
        <v>182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customFormat="false" ht="15" hidden="false" customHeight="false" outlineLevel="0" collapsed="false">
      <c r="A4" s="2" t="n">
        <v>3</v>
      </c>
      <c r="B4" s="2" t="s">
        <v>33</v>
      </c>
      <c r="C4" s="2" t="s">
        <v>34</v>
      </c>
      <c r="D4" s="19" t="s">
        <v>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customFormat="false" ht="15" hidden="false" customHeight="false" outlineLevel="0" collapsed="false">
      <c r="A5" s="2" t="n">
        <v>4</v>
      </c>
      <c r="B5" s="2" t="s">
        <v>40</v>
      </c>
      <c r="C5" s="2" t="s">
        <v>34</v>
      </c>
      <c r="D5" s="19" t="s">
        <v>41</v>
      </c>
      <c r="E5" s="2" t="s">
        <v>182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customFormat="false" ht="15" hidden="false" customHeight="false" outlineLevel="0" collapsed="false">
      <c r="A6" s="2" t="n">
        <v>5</v>
      </c>
      <c r="B6" s="2" t="s">
        <v>50</v>
      </c>
      <c r="C6" s="2" t="s">
        <v>51</v>
      </c>
      <c r="D6" s="19" t="s">
        <v>52</v>
      </c>
      <c r="E6" s="2" t="s">
        <v>182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customFormat="false" ht="15" hidden="false" customHeight="false" outlineLevel="0" collapsed="false">
      <c r="A7" s="2" t="n">
        <v>6</v>
      </c>
      <c r="B7" s="2" t="s">
        <v>58</v>
      </c>
      <c r="C7" s="2" t="s">
        <v>59</v>
      </c>
      <c r="D7" s="20" t="s">
        <v>60</v>
      </c>
      <c r="E7" s="2" t="s">
        <v>182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customFormat="false" ht="23.85" hidden="false" customHeight="false" outlineLevel="0" collapsed="false">
      <c r="A8" s="2" t="n">
        <v>7</v>
      </c>
      <c r="B8" s="2" t="s">
        <v>66</v>
      </c>
      <c r="C8" s="2" t="s">
        <v>67</v>
      </c>
      <c r="D8" s="20" t="s">
        <v>68</v>
      </c>
      <c r="E8" s="2" t="s">
        <v>183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customFormat="false" ht="15" hidden="false" customHeight="false" outlineLevel="0" collapsed="false">
      <c r="A9" s="2" t="n">
        <v>8</v>
      </c>
      <c r="B9" s="2" t="s">
        <v>73</v>
      </c>
      <c r="C9" s="2" t="s">
        <v>67</v>
      </c>
      <c r="D9" s="20" t="s">
        <v>74</v>
      </c>
      <c r="E9" s="2" t="s">
        <v>182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customFormat="false" ht="23.85" hidden="false" customHeight="false" outlineLevel="0" collapsed="false">
      <c r="A10" s="2" t="n">
        <v>9</v>
      </c>
      <c r="B10" s="2" t="s">
        <v>83</v>
      </c>
      <c r="C10" s="2" t="s">
        <v>84</v>
      </c>
      <c r="D10" s="19" t="s">
        <v>178</v>
      </c>
      <c r="E10" s="2" t="s">
        <v>182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customFormat="false" ht="15" hidden="false" customHeight="false" outlineLevel="0" collapsed="false">
      <c r="A11" s="2" t="n">
        <v>10</v>
      </c>
      <c r="B11" s="2" t="s">
        <v>90</v>
      </c>
      <c r="C11" s="2" t="s">
        <v>51</v>
      </c>
      <c r="D11" s="19" t="s">
        <v>52</v>
      </c>
      <c r="E11" s="2" t="s">
        <v>182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customFormat="false" ht="23.85" hidden="false" customHeight="false" outlineLevel="0" collapsed="false">
      <c r="A12" s="2" t="n">
        <v>11</v>
      </c>
      <c r="B12" s="2" t="s">
        <v>95</v>
      </c>
      <c r="C12" s="2" t="s">
        <v>17</v>
      </c>
      <c r="D12" s="19" t="s">
        <v>96</v>
      </c>
      <c r="E12" s="2" t="s">
        <v>182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customFormat="false" ht="23.85" hidden="false" customHeight="false" outlineLevel="0" collapsed="false">
      <c r="A13" s="2" t="n">
        <v>12</v>
      </c>
      <c r="B13" s="2" t="s">
        <v>101</v>
      </c>
      <c r="C13" s="2" t="s">
        <v>102</v>
      </c>
      <c r="D13" s="19" t="s">
        <v>103</v>
      </c>
      <c r="E13" s="2" t="s">
        <v>182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customFormat="false" ht="23.85" hidden="false" customHeight="false" outlineLevel="0" collapsed="false">
      <c r="A14" s="2" t="n">
        <v>13</v>
      </c>
      <c r="B14" s="2" t="s">
        <v>108</v>
      </c>
      <c r="C14" s="2" t="s">
        <v>109</v>
      </c>
      <c r="D14" s="19" t="s">
        <v>110</v>
      </c>
      <c r="E14" s="2" t="s">
        <v>182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customFormat="false" ht="15" hidden="false" customHeight="false" outlineLevel="0" collapsed="false">
      <c r="A15" s="2"/>
      <c r="B15" s="2"/>
      <c r="C15" s="2"/>
      <c r="D15" s="21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customFormat="false" ht="15" hidden="false" customHeight="false" outlineLevel="0" collapsed="false">
      <c r="A16" s="2" t="n">
        <v>15</v>
      </c>
      <c r="B16" s="2" t="s">
        <v>122</v>
      </c>
      <c r="C16" s="2" t="s">
        <v>123</v>
      </c>
      <c r="D16" s="19" t="s">
        <v>124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customFormat="false" ht="15" hidden="false" customHeight="false" outlineLevel="0" collapsed="false">
      <c r="A17" s="2" t="n">
        <v>16</v>
      </c>
      <c r="B17" s="2" t="s">
        <v>130</v>
      </c>
      <c r="C17" s="2" t="s">
        <v>123</v>
      </c>
      <c r="D17" s="19" t="s">
        <v>131</v>
      </c>
      <c r="E17" s="2" t="s">
        <v>182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customFormat="false" ht="15" hidden="false" customHeight="false" outlineLevel="0" collapsed="false">
      <c r="A18" s="2" t="n">
        <v>17</v>
      </c>
      <c r="B18" s="2" t="s">
        <v>135</v>
      </c>
      <c r="C18" s="2" t="s">
        <v>123</v>
      </c>
      <c r="D18" s="19" t="s">
        <v>136</v>
      </c>
      <c r="E18" s="2" t="s">
        <v>182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customFormat="false" ht="15" hidden="false" customHeight="false" outlineLevel="0" collapsed="false">
      <c r="A19" s="2" t="n">
        <v>18</v>
      </c>
      <c r="B19" s="2" t="s">
        <v>140</v>
      </c>
      <c r="C19" s="2" t="s">
        <v>123</v>
      </c>
      <c r="D19" s="19" t="s">
        <v>141</v>
      </c>
      <c r="E19" s="2" t="s">
        <v>182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customFormat="false" ht="15" hidden="false" customHeight="false" outlineLevel="0" collapsed="false">
      <c r="A20" s="2" t="n">
        <v>19</v>
      </c>
      <c r="B20" s="2" t="s">
        <v>145</v>
      </c>
      <c r="C20" s="2" t="s">
        <v>123</v>
      </c>
      <c r="D20" s="2" t="s">
        <v>146</v>
      </c>
      <c r="E20" s="2" t="s">
        <v>182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customFormat="false" ht="15.75" hidden="false" customHeight="true" outlineLevel="0" collapsed="false">
      <c r="A21" s="2" t="n">
        <v>20</v>
      </c>
      <c r="B21" s="2" t="s">
        <v>149</v>
      </c>
      <c r="C21" s="2" t="s">
        <v>67</v>
      </c>
      <c r="D21" s="19" t="s">
        <v>150</v>
      </c>
      <c r="E21" s="2" t="s">
        <v>183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customFormat="false" ht="15.75" hidden="false" customHeight="true" outlineLevel="0" collapsed="false">
      <c r="A22" s="2" t="n">
        <v>21</v>
      </c>
      <c r="B22" s="2" t="s">
        <v>155</v>
      </c>
      <c r="C22" s="2" t="s">
        <v>156</v>
      </c>
      <c r="D22" s="19" t="s">
        <v>157</v>
      </c>
      <c r="E22" s="2" t="s">
        <v>182</v>
      </c>
      <c r="F22" s="2"/>
      <c r="G22" s="15"/>
      <c r="H22" s="22"/>
      <c r="I22" s="2"/>
      <c r="J22" s="23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customFormat="false" ht="15.75" hidden="false" customHeight="true" outlineLevel="0" collapsed="false">
      <c r="A23" s="2" t="n">
        <v>22</v>
      </c>
      <c r="B23" s="2" t="s">
        <v>161</v>
      </c>
      <c r="C23" s="2" t="s">
        <v>162</v>
      </c>
      <c r="D23" s="19" t="s">
        <v>163</v>
      </c>
      <c r="E23" s="2" t="s">
        <v>182</v>
      </c>
      <c r="F23" s="2"/>
      <c r="G23" s="22"/>
      <c r="H23" s="22"/>
      <c r="I23" s="2"/>
      <c r="J23" s="2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customFormat="false" ht="15.7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customFormat="false" ht="15.7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customFormat="false" ht="15.7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customFormat="false" ht="15.7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</row>
  </sheetData>
  <dataValidations count="1">
    <dataValidation allowBlank="true" errorStyle="stop" operator="between" showDropDown="false" showErrorMessage="true" showInputMessage="false" sqref="E2:E23" type="list">
      <formula1>"Have it,Miss it"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2024-04-10T09:21:19Z</dcterms:created>
  <dc:creator/>
  <dc:description/>
  <dc:language>es-ES</dc:language>
  <cp:lastModifiedBy/>
  <dcterms:modified xsi:type="dcterms:W3CDTF">2026-08-01T22:02:35Z</dcterms:modified>
  <cp:revision>1</cp:revision>
  <dc:subject/>
  <dc:title/>
</cp:coreProperties>
</file>